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mc:AlternateContent xmlns:mc="http://schemas.openxmlformats.org/markup-compatibility/2006">
    <mc:Choice Requires="x15">
      <x15ac:absPath xmlns:x15ac="http://schemas.microsoft.com/office/spreadsheetml/2010/11/ac" url="/Volumes/BIWIN/Topic_School/Đánh giá và kiểm định chất lượng phần mềm_Nhóm 5/bao-cao-kiem-thu/"/>
    </mc:Choice>
  </mc:AlternateContent>
  <xr:revisionPtr revIDLastSave="0" documentId="13_ncr:1_{5AA041CE-B2BA-0D43-838C-D45B8E4708B6}" xr6:coauthVersionLast="47" xr6:coauthVersionMax="47" xr10:uidLastSave="{00000000-0000-0000-0000-000000000000}"/>
  <bookViews>
    <workbookView xWindow="1600" yWindow="600" windowWidth="49600" windowHeight="28200" tabRatio="500" activeTab="11" xr2:uid="{00000000-000D-0000-FFFF-FFFF00000000}"/>
  </bookViews>
  <sheets>
    <sheet name="Tổng hợp" sheetId="1" r:id="rId1"/>
    <sheet name="Toàn bộ Test Case" sheetId="2" r:id="rId2"/>
    <sheet name="AUTH" sheetId="3" r:id="rId3"/>
    <sheet name="PROD" sheetId="4" r:id="rId4"/>
    <sheet name="ORD" sheetId="5" r:id="rId5"/>
    <sheet name="VOUC" sheetId="6" r:id="rId6"/>
    <sheet name="REV" sheetId="7" r:id="rId7"/>
    <sheet name="CHAT" sheetId="8" r:id="rId8"/>
    <sheet name="AI" sheetId="9" r:id="rId9"/>
    <sheet name="HR" sheetId="10" r:id="rId10"/>
    <sheet name="ADM" sheetId="11" r:id="rId11"/>
    <sheet name="Truy vết UC và TC" sheetId="12" r:id="rId12"/>
  </sheets>
  <definedNames>
    <definedName name="_xlnm._FilterDatabase" localSheetId="10" hidden="1">ADM!$A$1:$P$11</definedName>
    <definedName name="_xlnm._FilterDatabase" localSheetId="8" hidden="1">AI!$A$1:$P$11</definedName>
    <definedName name="_xlnm._FilterDatabase" localSheetId="2" hidden="1">AUTH!$A$1:$P$26</definedName>
    <definedName name="_xlnm._FilterDatabase" localSheetId="7" hidden="1">CHAT!$A$1:$P$12</definedName>
    <definedName name="_xlnm._FilterDatabase" localSheetId="9" hidden="1">HR!$A$1:$P$16</definedName>
    <definedName name="_xlnm._FilterDatabase" localSheetId="4" hidden="1">ORD!$A$1:$P$23</definedName>
    <definedName name="_xlnm._FilterDatabase" localSheetId="3" hidden="1">PROD!$A$1:$P$23</definedName>
    <definedName name="_xlnm._FilterDatabase" localSheetId="6" hidden="1">REV!$A$1:$P$9</definedName>
    <definedName name="_xlnm._FilterDatabase" localSheetId="1" hidden="1">'Toàn bộ Test Case'!$A$1:$P$136</definedName>
    <definedName name="_xlnm._FilterDatabase" localSheetId="5" hidden="1">VOUC!$A$1:$P$13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28" i="12" l="1"/>
  <c r="E28" i="12"/>
  <c r="D28" i="12"/>
  <c r="G28" i="12" s="1"/>
  <c r="B28" i="12"/>
  <c r="F27" i="12"/>
  <c r="E27" i="12"/>
  <c r="D27" i="12"/>
  <c r="G27" i="12" s="1"/>
  <c r="B27" i="12"/>
  <c r="F26" i="12"/>
  <c r="E26" i="12"/>
  <c r="D26" i="12"/>
  <c r="G26" i="12" s="1"/>
  <c r="B26" i="12"/>
  <c r="F25" i="12"/>
  <c r="E25" i="12"/>
  <c r="D25" i="12"/>
  <c r="G25" i="12" s="1"/>
  <c r="B25" i="12"/>
  <c r="F24" i="12"/>
  <c r="E24" i="12"/>
  <c r="D24" i="12"/>
  <c r="G24" i="12" s="1"/>
  <c r="B24" i="12"/>
  <c r="F23" i="12"/>
  <c r="E23" i="12"/>
  <c r="G23" i="12" s="1"/>
  <c r="D23" i="12"/>
  <c r="B23" i="12"/>
  <c r="F22" i="12"/>
  <c r="E22" i="12"/>
  <c r="D22" i="12"/>
  <c r="G22" i="12" s="1"/>
  <c r="B22" i="12"/>
  <c r="G21" i="12"/>
  <c r="F21" i="12"/>
  <c r="E21" i="12"/>
  <c r="D21" i="12"/>
  <c r="B21" i="12"/>
  <c r="F20" i="12"/>
  <c r="E20" i="12"/>
  <c r="D20" i="12"/>
  <c r="G20" i="12" s="1"/>
  <c r="B20" i="12"/>
  <c r="F19" i="12"/>
  <c r="E19" i="12"/>
  <c r="D19" i="12"/>
  <c r="G19" i="12" s="1"/>
  <c r="B19" i="12"/>
  <c r="F18" i="12"/>
  <c r="E18" i="12"/>
  <c r="G18" i="12" s="1"/>
  <c r="D18" i="12"/>
  <c r="B18" i="12"/>
  <c r="F17" i="12"/>
  <c r="E17" i="12"/>
  <c r="D17" i="12"/>
  <c r="G17" i="12" s="1"/>
  <c r="B17" i="12"/>
  <c r="F16" i="12"/>
  <c r="E16" i="12"/>
  <c r="D16" i="12"/>
  <c r="G16" i="12" s="1"/>
  <c r="B16" i="12"/>
  <c r="F15" i="12"/>
  <c r="E15" i="12"/>
  <c r="D15" i="12"/>
  <c r="G15" i="12" s="1"/>
  <c r="B15" i="12"/>
  <c r="F14" i="12"/>
  <c r="E14" i="12"/>
  <c r="D14" i="12"/>
  <c r="G14" i="12" s="1"/>
  <c r="B14" i="12"/>
  <c r="G13" i="12"/>
  <c r="F13" i="12"/>
  <c r="E13" i="12"/>
  <c r="D13" i="12"/>
  <c r="B13" i="12"/>
  <c r="F12" i="12"/>
  <c r="E12" i="12"/>
  <c r="D12" i="12"/>
  <c r="G12" i="12" s="1"/>
  <c r="B12" i="12"/>
  <c r="F11" i="12"/>
  <c r="E11" i="12"/>
  <c r="D11" i="12"/>
  <c r="G11" i="12" s="1"/>
  <c r="B11" i="12"/>
  <c r="G10" i="12"/>
  <c r="F10" i="12"/>
  <c r="E10" i="12"/>
  <c r="D10" i="12"/>
  <c r="B10" i="12"/>
  <c r="F9" i="12"/>
  <c r="E9" i="12"/>
  <c r="D9" i="12"/>
  <c r="G9" i="12" s="1"/>
  <c r="B9" i="12"/>
  <c r="F8" i="12"/>
  <c r="E8" i="12"/>
  <c r="D8" i="12"/>
  <c r="G8" i="12" s="1"/>
  <c r="B8" i="12"/>
  <c r="F7" i="12"/>
  <c r="E7" i="12"/>
  <c r="D7" i="12"/>
  <c r="G7" i="12" s="1"/>
  <c r="B7" i="12"/>
  <c r="F6" i="12"/>
  <c r="E6" i="12"/>
  <c r="D6" i="12"/>
  <c r="G6" i="12" s="1"/>
  <c r="B6" i="12"/>
  <c r="G5" i="12"/>
  <c r="F5" i="12"/>
  <c r="E5" i="12"/>
  <c r="D5" i="12"/>
  <c r="B5" i="12"/>
  <c r="F4" i="12"/>
  <c r="F29" i="12" s="1"/>
  <c r="E4" i="12"/>
  <c r="E29" i="12" s="1"/>
  <c r="D4" i="12"/>
  <c r="D29" i="12" s="1"/>
  <c r="B4" i="12"/>
  <c r="B29" i="12" s="1"/>
  <c r="B50" i="1"/>
  <c r="H38" i="1"/>
  <c r="G38" i="1"/>
  <c r="F38" i="1"/>
  <c r="D38" i="1"/>
  <c r="H37" i="1"/>
  <c r="H39" i="1" s="1"/>
  <c r="G37" i="1"/>
  <c r="G39" i="1" s="1"/>
  <c r="F37" i="1"/>
  <c r="F39" i="1" s="1"/>
  <c r="D37" i="1"/>
  <c r="D39" i="1" s="1"/>
  <c r="I33" i="1"/>
  <c r="G33" i="1"/>
  <c r="F33" i="1"/>
  <c r="H33" i="1" s="1"/>
  <c r="J33" i="1" s="1"/>
  <c r="D33" i="1"/>
  <c r="I32" i="1"/>
  <c r="G32" i="1"/>
  <c r="F32" i="1"/>
  <c r="H32" i="1" s="1"/>
  <c r="J32" i="1" s="1"/>
  <c r="D32" i="1"/>
  <c r="I31" i="1"/>
  <c r="G31" i="1"/>
  <c r="F31" i="1"/>
  <c r="H31" i="1" s="1"/>
  <c r="J31" i="1" s="1"/>
  <c r="D31" i="1"/>
  <c r="I30" i="1"/>
  <c r="G30" i="1"/>
  <c r="H30" i="1" s="1"/>
  <c r="J30" i="1" s="1"/>
  <c r="F30" i="1"/>
  <c r="D30" i="1"/>
  <c r="I29" i="1"/>
  <c r="G29" i="1"/>
  <c r="F29" i="1"/>
  <c r="H29" i="1" s="1"/>
  <c r="J29" i="1" s="1"/>
  <c r="D29" i="1"/>
  <c r="I28" i="1"/>
  <c r="G28" i="1"/>
  <c r="F28" i="1"/>
  <c r="H28" i="1" s="1"/>
  <c r="J28" i="1" s="1"/>
  <c r="D28" i="1"/>
  <c r="J15" i="1"/>
  <c r="I15" i="1"/>
  <c r="H15" i="1"/>
  <c r="G15" i="1"/>
  <c r="F15" i="1"/>
  <c r="E15" i="1"/>
  <c r="D15" i="1"/>
  <c r="J14" i="1"/>
  <c r="I14" i="1"/>
  <c r="H14" i="1"/>
  <c r="G14" i="1"/>
  <c r="F14" i="1"/>
  <c r="E14" i="1"/>
  <c r="D14" i="1"/>
  <c r="I13" i="1"/>
  <c r="H13" i="1"/>
  <c r="G13" i="1"/>
  <c r="F13" i="1"/>
  <c r="E13" i="1" s="1"/>
  <c r="J13" i="1" s="1"/>
  <c r="D13" i="1"/>
  <c r="I12" i="1"/>
  <c r="H12" i="1"/>
  <c r="G12" i="1"/>
  <c r="E12" i="1" s="1"/>
  <c r="J12" i="1" s="1"/>
  <c r="F12" i="1"/>
  <c r="D12" i="1"/>
  <c r="I11" i="1"/>
  <c r="H11" i="1"/>
  <c r="G11" i="1"/>
  <c r="F11" i="1"/>
  <c r="E11" i="1" s="1"/>
  <c r="J11" i="1" s="1"/>
  <c r="D11" i="1"/>
  <c r="I10" i="1"/>
  <c r="H10" i="1"/>
  <c r="G10" i="1"/>
  <c r="F10" i="1"/>
  <c r="E10" i="1"/>
  <c r="J10" i="1" s="1"/>
  <c r="D10" i="1"/>
  <c r="I9" i="1"/>
  <c r="H9" i="1"/>
  <c r="G9" i="1"/>
  <c r="F9" i="1"/>
  <c r="E9" i="1"/>
  <c r="J9" i="1" s="1"/>
  <c r="D9" i="1"/>
  <c r="I8" i="1"/>
  <c r="I16" i="1" s="1"/>
  <c r="H8" i="1"/>
  <c r="G8" i="1"/>
  <c r="G16" i="1" s="1"/>
  <c r="F8" i="1"/>
  <c r="F16" i="1" s="1"/>
  <c r="D8" i="1"/>
  <c r="D16" i="1" s="1"/>
  <c r="J7" i="1"/>
  <c r="I7" i="1"/>
  <c r="H7" i="1"/>
  <c r="G7" i="1"/>
  <c r="F7" i="1"/>
  <c r="E7" i="1"/>
  <c r="D7" i="1"/>
  <c r="E8" i="1" l="1"/>
  <c r="J8" i="1" s="1"/>
  <c r="H16" i="1"/>
  <c r="E38" i="1"/>
  <c r="E29" i="1"/>
  <c r="E30" i="1"/>
  <c r="E32" i="1"/>
  <c r="E37" i="1"/>
  <c r="E31" i="1"/>
  <c r="E39" i="1"/>
  <c r="E33" i="1"/>
  <c r="E28" i="1"/>
  <c r="D17" i="1"/>
  <c r="D23" i="1"/>
  <c r="F23" i="1" s="1"/>
  <c r="G4" i="12"/>
  <c r="G29" i="12" s="1"/>
  <c r="E16" i="1"/>
  <c r="J16" i="1" s="1"/>
  <c r="D22" i="1" s="1"/>
  <c r="F22" i="1" s="1"/>
  <c r="D21" i="1" l="1"/>
  <c r="F21" i="1" s="1"/>
</calcChain>
</file>

<file path=xl/sharedStrings.xml><?xml version="1.0" encoding="utf-8"?>
<sst xmlns="http://schemas.openxmlformats.org/spreadsheetml/2006/main" count="4459" uniqueCount="1069">
  <si>
    <t>TỔNG HỢP KẾT QUẢ KIỂM THỬ HỆ THỐNG TIGER SHOP</t>
  </si>
  <si>
    <t>Học phần: Đánh giá và Kiểm định chất lượng phần mềm</t>
  </si>
  <si>
    <t>Bộ kịch bản tự động chạy ngày 25/09/2026 trên cơ sở dữ liệu ecommerce_test. Trạng thái ghi theo bốn trạng thái của Bảng 2.25; tỉ lệ đạt tính trên số test case đã thực hiện. Mọi số liệu dưới đây là công thức đếm từ cột Trạng thái của các sheet test case.</t>
  </si>
  <si>
    <t>1. KẾT QUẢ THEO NHÓM CHỨC NĂNG (Bảng 3.34)</t>
  </si>
  <si>
    <t>STT</t>
  </si>
  <si>
    <t>Mã nhóm</t>
  </si>
  <si>
    <t>Nhóm chức năng</t>
  </si>
  <si>
    <t>Số TC</t>
  </si>
  <si>
    <t>Đã thực hiện</t>
  </si>
  <si>
    <t>Pass</t>
  </si>
  <si>
    <t>Fail</t>
  </si>
  <si>
    <t>Blocked</t>
  </si>
  <si>
    <t>Chưa thực hiện</t>
  </si>
  <si>
    <t>Tỉ lệ đạt trên số đã thực hiện</t>
  </si>
  <si>
    <t>AUTH</t>
  </si>
  <si>
    <t>Xác thực và phân quyền</t>
  </si>
  <si>
    <t>PROD</t>
  </si>
  <si>
    <t>Quản lý sản phẩm và tồn kho</t>
  </si>
  <si>
    <t>ORD</t>
  </si>
  <si>
    <t>Giỏ hàng và đơn hàng</t>
  </si>
  <si>
    <t>VOUC</t>
  </si>
  <si>
    <t>Voucher và ví voucher</t>
  </si>
  <si>
    <t>REV</t>
  </si>
  <si>
    <t>Đánh giá sản phẩm</t>
  </si>
  <si>
    <t>CHAT</t>
  </si>
  <si>
    <t>Chat hỗ trợ thời gian thực</t>
  </si>
  <si>
    <t>AI</t>
  </si>
  <si>
    <t>Trợ lý ảo Tiger AI</t>
  </si>
  <si>
    <t>HR</t>
  </si>
  <si>
    <t>Ca làm, chấm công và lương</t>
  </si>
  <si>
    <t>ADM</t>
  </si>
  <si>
    <t>Quản trị hệ thống</t>
  </si>
  <si>
    <t>TỔNG CỘNG</t>
  </si>
  <si>
    <t>Kiểm tra: Số TC bằng tổng bốn trạng thái</t>
  </si>
  <si>
    <t>2. ĐỐI CHIẾU VỚI TIÊU CHÍ KẾT THÚC KIỂM THỬ (Bảng 2.27)</t>
  </si>
  <si>
    <t>Chỉ số</t>
  </si>
  <si>
    <t>Giá trị</t>
  </si>
  <si>
    <t>Ngưỡng</t>
  </si>
  <si>
    <t>Kết luận</t>
  </si>
  <si>
    <t>Tỉ lệ test case đã thực thi</t>
  </si>
  <si>
    <t>Tỉ lệ đạt trên số test case đã thực thi</t>
  </si>
  <si>
    <t>Tỉ lệ Use Case có test case</t>
  </si>
  <si>
    <t>Ngưỡng lấy theo tiêu chí kết thúc ở Bảng 2.27 của Chương II.</t>
  </si>
  <si>
    <t>3. KẾT QUẢ THEO LOẠI KIỂM THỬ VÀ MỨC ƯU TIÊN (Bảng 3.3 và Bảng 3.35)</t>
  </si>
  <si>
    <t>Phân loại</t>
  </si>
  <si>
    <t>Tỉ lệ trên tổng số TC</t>
  </si>
  <si>
    <t>Positive</t>
  </si>
  <si>
    <t>Negative</t>
  </si>
  <si>
    <t>Boundary</t>
  </si>
  <si>
    <t>Security</t>
  </si>
  <si>
    <t>Ưu tiên Cao</t>
  </si>
  <si>
    <t>Ưu tiên Trung bình</t>
  </si>
  <si>
    <t>4. PHƯƠNG PHÁP THỰC HIỆN THEO THIẾT KẾ VÀ THEO THỰC TẾ (Bảng 3.4)</t>
  </si>
  <si>
    <t>Phương pháp theo thiết kế</t>
  </si>
  <si>
    <t>Kịch bản Jest</t>
  </si>
  <si>
    <t>Phép đo riêng</t>
  </si>
  <si>
    <t>Thực thi bằng mã</t>
  </si>
  <si>
    <t>Thủ công</t>
  </si>
  <si>
    <t>Bảy test case thiết kế thủ công đã được chuyển thành kịch bản Jest: ORD-014, REV-008, AI-001, AI-005, AI-007, HR-013, ADM-008; AI-008 thực hiện bằng phép đo riêng (mục 5.4.5).</t>
  </si>
  <si>
    <t>5. TEST CASE KHÔNG ĐẠT VÀ KHIẾM KHUYẾT LIÊN QUAN (Bảng 3.36)</t>
  </si>
  <si>
    <t>Mã TC</t>
  </si>
  <si>
    <t>Use Case và bước bị vi phạm</t>
  </si>
  <si>
    <t>Mã khiếm khuyết</t>
  </si>
  <si>
    <t>Mức độ</t>
  </si>
  <si>
    <t>Vị trí trong mã nguồn</t>
  </si>
  <si>
    <t>CHAT-009</t>
  </si>
  <si>
    <t>UC21, ngoại lệ 5c</t>
  </si>
  <si>
    <t>DEF-08 (trùng VUL-01)</t>
  </si>
  <si>
    <t>Nghiêm trọng</t>
  </si>
  <si>
    <t>routes/chatRoutes.js, tuyến GET /messages/:threadId</t>
  </si>
  <si>
    <t>ADM-005</t>
  </si>
  <si>
    <t>UC23, ngoại lệ 3b</t>
  </si>
  <si>
    <t>DEF-06 (trùng VUL-02)</t>
  </si>
  <si>
    <t>userController.resetUserPassword</t>
  </si>
  <si>
    <t>PROD-008</t>
  </si>
  <si>
    <t>UC12, bước 5 và hậu điều kiện</t>
  </si>
  <si>
    <t>DEF-02</t>
  </si>
  <si>
    <t>Cao</t>
  </si>
  <si>
    <t>productController.createProduct</t>
  </si>
  <si>
    <t>ORD-022</t>
  </si>
  <si>
    <t>UC11, ngoại lệ 4a</t>
  </si>
  <si>
    <t>DEF-11</t>
  </si>
  <si>
    <t>Trung bình</t>
  </si>
  <si>
    <t>orderController.updateOrderStatus</t>
  </si>
  <si>
    <t>AI-008</t>
  </si>
  <si>
    <t>Bảng 1.31, chỉ tiêu 3</t>
  </si>
  <si>
    <t>PERF-03</t>
  </si>
  <si>
    <t>aiChatController.chatWithAi</t>
  </si>
  <si>
    <t>AUTH-006</t>
  </si>
  <si>
    <t>UC01, ngoại lệ 6a</t>
  </si>
  <si>
    <t>DEF-12 (mới)</t>
  </si>
  <si>
    <t>Thấp</t>
  </si>
  <si>
    <t>authController.register</t>
  </si>
  <si>
    <t>test case không đạt (đếm từ sheet Toàn bộ Test Case)</t>
  </si>
  <si>
    <t>UC liên quan</t>
  </si>
  <si>
    <t>Tiêu đề kiểm thử</t>
  </si>
  <si>
    <t>Điều kiện tiên quyết</t>
  </si>
  <si>
    <t>Dữ liệu đầu vào</t>
  </si>
  <si>
    <t>Các bước thực hiện</t>
  </si>
  <si>
    <t>Kết quả mong đợi</t>
  </si>
  <si>
    <t>Loại KT</t>
  </si>
  <si>
    <t>Mức ưu tiên</t>
  </si>
  <si>
    <t>Phương pháp</t>
  </si>
  <si>
    <t>Kết quả thực tế</t>
  </si>
  <si>
    <t>Trạng thái</t>
  </si>
  <si>
    <t>Người thực hiện</t>
  </si>
  <si>
    <t>Ngày thực hiện</t>
  </si>
  <si>
    <t>Ghi chú</t>
  </si>
  <si>
    <t>AUTH-001</t>
  </si>
  <si>
    <t>UC01</t>
  </si>
  <si>
    <t>Đăng ký với dữ liệu hợp lệ</t>
  </si>
  <si>
    <t>Email chưa tồn tại</t>
  </si>
  <si>
    <t>name = Nguoi dung moi; email = new.user.[thời điểm]@tigershop.test; password = Test@123; phone = 0912345678; birthday = 2000-05-20</t>
  </si>
  <si>
    <t>1. Gửi POST /api/auth/register
2. Truy vấn bảng users theo email
3. Truy vấn user_vouchers của tài khoản mới</t>
  </si>
  <si>
    <t>Mã 200, thông báo Register successful; users có role_id = 5, status = active; ví có một voucher chào mừng giảm 50% (hậu điều kiện UC01)</t>
  </si>
  <si>
    <t>Tự động</t>
  </si>
  <si>
    <t>Mã 200, Register successful; role_id = 5, status = active; ví có đúng một voucher value = 50. Voucher được ghi sau khi phản hồi đã trả về nên kịch bản phải chờ tối đa 3 giây mới thấy bản ghi (liên quan DEF-01)</t>
  </si>
  <si>
    <t>Jest + Supertest</t>
  </si>
  <si>
    <t>25/09/2026</t>
  </si>
  <si>
    <t>Quan sát được DEF-01: voucher chào mừng ghi sau phản hồi, không cùng giao dịch</t>
  </si>
  <si>
    <t>AUTH-002</t>
  </si>
  <si>
    <t>Đăng ký khi bỏ trống họ tên</t>
  </si>
  <si>
    <t>Máy chủ đang chạy; không cần đăng nhập</t>
  </si>
  <si>
    <t>name rỗng; các trường khác hợp lệ</t>
  </si>
  <si>
    <t>1. Gửi POST /api/auth/register</t>
  </si>
  <si>
    <t>Mã 400, thông báo Thiếu thông tin đăng ký (ngoại lệ 5a)</t>
  </si>
  <si>
    <t>Mã 400, Thiếu thông tin đăng ký</t>
  </si>
  <si>
    <t>AUTH-003</t>
  </si>
  <si>
    <t>Đăng ký khi bỏ trống email</t>
  </si>
  <si>
    <t>email rỗng; các trường khác hợp lệ</t>
  </si>
  <si>
    <t>AUTH-004</t>
  </si>
  <si>
    <t>Đăng ký khi bỏ trống mật khẩu</t>
  </si>
  <si>
    <t>password rỗng; các trường khác hợp lệ</t>
  </si>
  <si>
    <t>AUTH-005</t>
  </si>
  <si>
    <t>Đăng ký khi bỏ trống số điện thoại</t>
  </si>
  <si>
    <t>phone rỗng; các trường khác hợp lệ</t>
  </si>
  <si>
    <t>Đăng ký với email đã tồn tại</t>
  </si>
  <si>
    <t>customer1@tigershop.test có sẵn trong dữ liệu mẫu</t>
  </si>
  <si>
    <t>email = customer1@tigershop.test; các trường khác hợp lệ</t>
  </si>
  <si>
    <t>1. Gửi POST /api/auth/register
2. Đếm bản ghi users có email này</t>
  </si>
  <si>
    <t>Từ chối đăng ký, mã 409 kèm thông báo thư điện tử đã được sử dụng; không phát sinh bản ghi trùng (ngoại lệ 6a)</t>
  </si>
  <si>
    <t>Mã 500, thông báo Email đã tồn tại; số bản ghi vẫn là 1 nhờ ràng buộc UNIQUE</t>
  </si>
  <si>
    <t>Khiếm khuyết DEF-12, mức Thấp (Bảng 3.36)</t>
  </si>
  <si>
    <t>AUTH-007</t>
  </si>
  <si>
    <t>Mật khẩu xác nhận không khớp</t>
  </si>
  <si>
    <t>Đang ở trang /register</t>
  </si>
  <si>
    <t>password = Test@123; confirmPassword = Test@456</t>
  </si>
  <si>
    <t>1. Nhập hai mật khẩu khác nhau
2. Nhấn Đăng ký</t>
  </si>
  <si>
    <t>Giao diện báo lỗi xác nhận mật khẩu và không gửi yêu cầu tới máy chủ (Hình 1.7)</t>
  </si>
  <si>
    <t>Chưa có kết quả; kiểm tra này nằm hoàn toàn trong Register.js</t>
  </si>
  <si>
    <t>Lý do: chức năng nằm hoàn toàn ở giao diện, thuộc giai đoạn 6 chưa triển khai (Bảng 3.38, dòng 1)</t>
  </si>
  <si>
    <t>AUTH-008</t>
  </si>
  <si>
    <t>Đăng ký với email sai định dạng</t>
  </si>
  <si>
    <t>email = abc@@test</t>
  </si>
  <si>
    <t>1. Nhập email sai định dạng
2. Nhấn Đăng ký</t>
  </si>
  <si>
    <t>Giao diện chặn gửi biểu mẫu và cảnh báo định dạng email (Hình 1.7)</t>
  </si>
  <si>
    <t>AUTH-009</t>
  </si>
  <si>
    <t>Mật khẩu được băm trước khi lưu</t>
  </si>
  <si>
    <t>Đăng ký thành công một tài khoản mới</t>
  </si>
  <si>
    <t>email = hash.check.[thời điểm]@tigershop.test; password = Test@123</t>
  </si>
  <si>
    <t>1. Đăng ký tài khoản
2. Đọc cột password theo email
3. So khớp bằng bcrypt.compare</t>
  </si>
  <si>
    <t>Cột password là chuỗi băm bcrypt, khác mật khẩu gốc (bước 6; mục 1.3.3)</t>
  </si>
  <si>
    <t>Giá trị lưu khác mật khẩu gốc, khớp mẫu chuỗi băm bcrypt; bcrypt.compare với mật khẩu gốc trả về true</t>
  </si>
  <si>
    <t>AUTH-010</t>
  </si>
  <si>
    <t>Voucher chào mừng được phát tự động</t>
  </si>
  <si>
    <t>Vừa đăng ký tài khoản mới</t>
  </si>
  <si>
    <t>tài khoản tạo ở AUTH-001</t>
  </si>
  <si>
    <t>1. Đăng nhập tài khoản mới
2. Mở trang Voucher của tôi</t>
  </si>
  <si>
    <t>Ví có đúng một voucher giảm 50%, áp dụng cho đơn từ 50.000 đ, giảm tối đa 100.000 đ, hiệu lực 30 ngày (bước 7)</t>
  </si>
  <si>
    <t>Chưa kiểm tra trên giao diện. Kịch bản AUTH-001 mới xác nhận giá trị giảm 50%; đơn tối thiểu, mức giảm tối đa và hạn dùng chưa được đối chiếu</t>
  </si>
  <si>
    <t>Lý do: kịch bản hiện có chưa đủ tin cậy làm bằng chứng (Bảng 3.38, dòng 2)</t>
  </si>
  <si>
    <t>AUTH-011</t>
  </si>
  <si>
    <t>Giới hạn tần suất trên nhóm API xác thực</t>
  </si>
  <si>
    <t>Bộ giới hạn thật, không giả lập</t>
  </si>
  <si>
    <t>13 yêu cầu POST /api/auth/login liên tiếp từ cùng một địa chỉ</t>
  </si>
  <si>
    <t>1. Gửi liên tiếp 13 yêu cầu
2. Ghi mã trạng thái của từng yêu cầu</t>
  </si>
  <si>
    <t>Mười yêu cầu đầu được xử lý bình thường; từ yêu cầu thứ 11 trả mã 429 (ngoại lệ 4a)</t>
  </si>
  <si>
    <t>Yêu cầu 1 đến 10 được xử lý (mã 401 vì email không tồn tại); yêu cầu 11 đến 13 trả mã 429. Kịch bản AUTH-011b xác nhận thông báo tiếng Việt có cụm từ quá nhanh</t>
  </si>
  <si>
    <t>AUTH-012</t>
  </si>
  <si>
    <t>UC02</t>
  </si>
  <si>
    <t>Đăng nhập tài khoản Quản trị viên</t>
  </si>
  <si>
    <t>Tài khoản đang hoạt động</t>
  </si>
  <si>
    <t>admin@tigershop.test; Test@123</t>
  </si>
  <si>
    <t>1. Gửi POST /api/auth/login</t>
  </si>
  <si>
    <t>Mã 200, trả về token và role = ADMIN; giao diện chuyển tới /admin/dashboard (bước 8)</t>
  </si>
  <si>
    <t>Mã 200, token là chuỗi JWT, role = ADMIN. Phần chuyển trang trên giao diện chưa kiểm chứng</t>
  </si>
  <si>
    <t>Mức kiểm chứng hạn chế: phần giao diện hoặc thời gian thực chưa kiểm chứng (Bảng 3.37, dòng 4)</t>
  </si>
  <si>
    <t>AUTH-013</t>
  </si>
  <si>
    <t>Đăng nhập tài khoản Quản lý</t>
  </si>
  <si>
    <t>manager@tigershop.test; Test@123</t>
  </si>
  <si>
    <t>Mã 200, role = MANAGER; giao diện chuyển tới /manager/workspace</t>
  </si>
  <si>
    <t>Mã 200, token là chuỗi JWT, role = MANAGER. Phần chuyển trang chưa kiểm chứng</t>
  </si>
  <si>
    <t>AUTH-014</t>
  </si>
  <si>
    <t>Đăng nhập tài khoản Nhân viên</t>
  </si>
  <si>
    <t>status = active</t>
  </si>
  <si>
    <t>staff@tigershop.test; Test@123</t>
  </si>
  <si>
    <t>Mã 200, role = STAFF; giao diện chuyển tới /staff/workspace</t>
  </si>
  <si>
    <t>Mã 200, token là chuỗi JWT, role = STAFF. Phần chuyển trang chưa kiểm chứng</t>
  </si>
  <si>
    <t>AUTH-015</t>
  </si>
  <si>
    <t>Đăng nhập tài khoản Khách hàng</t>
  </si>
  <si>
    <t>customer1@tigershop.test; Test@123</t>
  </si>
  <si>
    <t>Mã 200, role = CUSTOMER; giao diện chuyển tới /home</t>
  </si>
  <si>
    <t>Mã 200, token là chuỗi JWT, role = CUSTOMER. Phần chuyển trang chưa kiểm chứng</t>
  </si>
  <si>
    <t>AUTH-016</t>
  </si>
  <si>
    <t>Đăng nhập với mật khẩu sai</t>
  </si>
  <si>
    <t>Tài khoản tồn tại trong hệ thống</t>
  </si>
  <si>
    <t>customer1@tigershop.test; SaiMatKhau123</t>
  </si>
  <si>
    <t>Mã 401, thông báo Wrong password; không cấp token (ngoại lệ 6a)</t>
  </si>
  <si>
    <t>Mã 401, Wrong password; phản hồi không có trường token</t>
  </si>
  <si>
    <t>Hai thông báo khác nhau cho phép dò email (VUL-10, Chương VI)</t>
  </si>
  <si>
    <t>AUTH-017</t>
  </si>
  <si>
    <t>Đăng nhập với email không tồn tại</t>
  </si>
  <si>
    <t>Email khongtontai@tigershop.test chưa từng đăng ký</t>
  </si>
  <si>
    <t>khongtontai@tigershop.test; Test@123</t>
  </si>
  <si>
    <t>Mã 401, thông báo User not found (ngoại lệ 4a)</t>
  </si>
  <si>
    <t>Mã 401, User not found</t>
  </si>
  <si>
    <t>AUTH-018</t>
  </si>
  <si>
    <t>Bỏ trống email và mật khẩu</t>
  </si>
  <si>
    <t>email rỗng; password rỗng</t>
  </si>
  <si>
    <t>Mã 400, thông báo Thiếu email hoặc mật khẩu (ngoại lệ 2a)</t>
  </si>
  <si>
    <t>Mã 400, Thiếu email hoặc mật khẩu</t>
  </si>
  <si>
    <t>AUTH-019</t>
  </si>
  <si>
    <t>Token cấp trước khi tài khoản bị khóa</t>
  </si>
  <si>
    <t>customer2 đang hoạt động</t>
  </si>
  <si>
    <t>token của customer2</t>
  </si>
  <si>
    <t>1. Đăng nhập customer2 và gọi GET /api/users/me
2. Đặt is_active = 0
3. Gọi lại GET /api/users/me bằng token cũ</t>
  </si>
  <si>
    <t>Lần gọi sau khi khóa trả mã 403, thông báo Tài khoản của bạn đã bị khóa. (UC23 ngoại lệ 3a)</t>
  </si>
  <si>
    <t>Trước khi khóa mã 200; sau khi khóa mã 403 với đúng thông báo. Kịch bản AUTH-019b xác nhận thêm tài khoản customer.locked bị chặn ngay ở bước đăng nhập (mã 403, không cấp token, ngoại lệ 5c)</t>
  </si>
  <si>
    <t>AUTH-020</t>
  </si>
  <si>
    <t>UC03</t>
  </si>
  <si>
    <t>Gọi API được bảo vệ khi không gửi token</t>
  </si>
  <si>
    <t>Máy chủ đang chạy</t>
  </si>
  <si>
    <t>Yêu cầu GET /api/users/me không có header Authorization</t>
  </si>
  <si>
    <t>1. Gửi yêu cầu</t>
  </si>
  <si>
    <t>Mã 401, thông báo Token không tồn tại</t>
  </si>
  <si>
    <t>Mã 401, Token không tồn tại</t>
  </si>
  <si>
    <t>AUTH-021</t>
  </si>
  <si>
    <t>Gọi API với token sai định dạng hoặc đã hết hạn</t>
  </si>
  <si>
    <t>Bearer abc.def.ghi; token hợp lệ về chữ ký nhưng hết hạn từ 1 giờ trước</t>
  </si>
  <si>
    <t>1. Gửi yêu cầu kèm token sai định dạng
2. Gửi yêu cầu kèm token hết hạn</t>
  </si>
  <si>
    <t>Cả hai trường hợp trả mã 401, thông báo Token không hợp lệ (ngoại lệ 1a)</t>
  </si>
  <si>
    <t>Cả hai trả mã 401, Token không hợp lệ (trường hợp hết hạn chạy ở kịch bản AUTH-021b)</t>
  </si>
  <si>
    <t>AUTH-022</t>
  </si>
  <si>
    <t>Đăng xuất và xác nhận phiên đã kết thúc</t>
  </si>
  <si>
    <t>Đang đăng nhập trên trình duyệt</t>
  </si>
  <si>
    <t>Không</t>
  </si>
  <si>
    <t>1. Nhấn Đăng xuất
2. Kiểm tra localStorage
3. Truy cập lại trang cần đăng nhập</t>
  </si>
  <si>
    <t>Dữ liệu xác thực trong localStorage bị xóa, trình duyệt chuyển về /login và không vào lại được trang bảo vệ (hậu điều kiện UC03)</t>
  </si>
  <si>
    <t>Chưa có kết quả; UC03 không có điểm cuối API, toàn bộ xử lý nằm ở giao diện</t>
  </si>
  <si>
    <t>AUTH-023</t>
  </si>
  <si>
    <t>UC04</t>
  </si>
  <si>
    <t>Xem và cập nhật hồ sơ cá nhân</t>
  </si>
  <si>
    <t>customer1 đã đăng nhập</t>
  </si>
  <si>
    <t>name = Khach hang mot da doi ten; phone = 0987654321</t>
  </si>
  <si>
    <t>1. Gửi GET /api/users/me
2. Gửi PUT /api/users/me
3. Truy vấn bảng users</t>
  </si>
  <si>
    <t>Mã 200 ở cả hai yêu cầu; họ tên và số điện thoại mới được lưu (bước 5)</t>
  </si>
  <si>
    <t>Cả hai yêu cầu trả mã 200; cột name và phone mang đúng giá trị mới. Phần hiển thị sau khi tải lại trang chưa kiểm chứng</t>
  </si>
  <si>
    <t>AUTH-024</t>
  </si>
  <si>
    <t>Đổi mật khẩu với mật khẩu hiện tại không đúng</t>
  </si>
  <si>
    <t>customer2 đã đăng nhập</t>
  </si>
  <si>
    <t>currentPassword = SaiMatKhauCu; newPassword = MatKhauMoi@123</t>
  </si>
  <si>
    <t>1. Gửi PUT /api/users/me/change-password
2. So sánh cột password trước và sau</t>
  </si>
  <si>
    <t>Mã 401, thông báo Mật khẩu hiện tại không đúng; cột password không thay đổi (ngoại lệ 3a)</t>
  </si>
  <si>
    <t>Yêu cầu bị từ chối (kịch bản kiểm tra mã từ 400 trở lên); cột password giữ nguyên. Kịch bản AUTH-024b xác nhận mật khẩu mới dưới 6 ký tự bị từ chối với mã 400</t>
  </si>
  <si>
    <t>Mức kiểm chứng hạn chế: chỉ kiểm tra mã trạng thái (Bảng 3.37, dòng 1)</t>
  </si>
  <si>
    <t>AUTH-025</t>
  </si>
  <si>
    <t>Cập nhật ảnh đại diện</t>
  </si>
  <si>
    <t>Người dùng đã đăng nhập</t>
  </si>
  <si>
    <t>avatar.png dung lượng 500 KB</t>
  </si>
  <si>
    <t>1. Mở trang Hồ sơ
2. Chọn ảnh mới
3. Nhấn Tải lên</t>
  </si>
  <si>
    <t>Ảnh được lưu vào thư mục uploads, cột avatar được cập nhật, ảnh mới hiển thị trên thanh điều hướng</t>
  </si>
  <si>
    <t>Chưa có kết quả đủ tin cậy; kịch bản USR-007 có gọi POST /api/users/me/avatar nhưng tự bỏ qua bước kiểm tra khi máy chủ trả lỗi</t>
  </si>
  <si>
    <t>PROD-001</t>
  </si>
  <si>
    <t>UC05</t>
  </si>
  <si>
    <t>Xem danh sách sản phẩm khi chưa đăng nhập</t>
  </si>
  <si>
    <t>Dữ liệu mẫu có 18 sản phẩm active và 3 sản phẩm pending</t>
  </si>
  <si>
    <t>Không gửi token</t>
  </si>
  <si>
    <t>1. Gửi GET /api/products
2. Đối chiếu với các sản phẩm có status khác active hoặc đã xóa mềm</t>
  </si>
  <si>
    <t>Mã 200; chỉ có sản phẩm status = active và chưa bị xóa mềm (bước 2)</t>
  </si>
  <si>
    <t>Mã 200; không mã sản phẩm pending hay đã xóa mềm nào xuất hiện trong danh sách</t>
  </si>
  <si>
    <t>PROD-002</t>
  </si>
  <si>
    <t>Lọc sản phẩm theo danh mục</t>
  </si>
  <si>
    <t>4 danh mục đều có sản phẩm</t>
  </si>
  <si>
    <t>Danh mục đầu tiên có product_count lớn hơn 0</t>
  </si>
  <si>
    <t>1. Gửi GET /api/categories
2. Gửi GET /api/products và lọc theo tên danh mục
3. Đếm trực tiếp trong cơ sở dữ liệu</t>
  </si>
  <si>
    <t>Chỉ còn sản phẩm thuộc danh mục đã chọn; số lượng khớp số sản phẩm của danh mục (bước 3)</t>
  </si>
  <si>
    <t>Số sản phẩm sau khi lọc bằng số đếm trong cơ sở dữ liệu. Thao tác lọc do Shop.js thực hiện trên trình duyệt nên phần hiển thị chưa kiểm chứng</t>
  </si>
  <si>
    <t>PROD-003</t>
  </si>
  <si>
    <t>Tìm kiếm theo từ khóa có kết quả</t>
  </si>
  <si>
    <t>Có sản phẩm tên chứa từ khóa</t>
  </si>
  <si>
    <t>keyword = Kiem Thu</t>
  </si>
  <si>
    <t>1. Nhập từ khóa vào ô tìm kiếm
2. Nhấn tìm kiếm</t>
  </si>
  <si>
    <t>Hiển thị đúng các sản phẩm có tên chứa từ khóa, không phân biệt chữ hoa và chữ thường (bước 3)</t>
  </si>
  <si>
    <t>Chưa có kết quả; tìm kiếm là bộ lọc trên trình duyệt trong Shop.js, máy chủ không nhận tham số tìm kiếm</t>
  </si>
  <si>
    <t>PROD-004</t>
  </si>
  <si>
    <t>Tìm kiếm với từ khóa không khớp sản phẩm nào</t>
  </si>
  <si>
    <t>Đang ở trang danh sách sản phẩm</t>
  </si>
  <si>
    <t>keyword = zzzzzzzz</t>
  </si>
  <si>
    <t>1. Nhập từ khóa
2. Nhấn tìm kiếm</t>
  </si>
  <si>
    <t>Hiển thị thông báo không tìm thấy, không báo lỗi hệ thống (ngoại lệ 3a)</t>
  </si>
  <si>
    <t>Chưa có kết quả; cùng lý do với PROD-003</t>
  </si>
  <si>
    <t>PROD-005</t>
  </si>
  <si>
    <t>Xem chi tiết sản phẩm hợp lệ</t>
  </si>
  <si>
    <t>Tồn tại sản phẩm có id xác định</t>
  </si>
  <si>
    <t>Mã của sản phẩm đầu tiên trong danh sách công khai</t>
  </si>
  <si>
    <t>1. Gửi GET /api/products/:id</t>
  </si>
  <si>
    <t>Mã 200; đủ tên, giá, giá gốc, mô tả, ảnh, tồn kho, danh sách biến thể và đánh giá (bước 5)</t>
  </si>
  <si>
    <t>Mã 200; có các trường id, name, price, stock. Các trường còn lại chưa được kịch bản kiểm tra</t>
  </si>
  <si>
    <t>Mức kiểm chứng hạn chế: chỉ kiểm tra một phần kết quả mong đợi (Bảng 3.37, dòng 2)</t>
  </si>
  <si>
    <t>PROD-006</t>
  </si>
  <si>
    <t>Xem chi tiết sản phẩm với mã không tồn tại</t>
  </si>
  <si>
    <t>productId = 999999</t>
  </si>
  <si>
    <t>1. Gửi GET /api/products/999999</t>
  </si>
  <si>
    <t>Mã 404, không trả lỗi 500 (ngoại lệ 4a)</t>
  </si>
  <si>
    <t>Mã 404</t>
  </si>
  <si>
    <t>PROD-007</t>
  </si>
  <si>
    <t>Xem danh sách biến thể</t>
  </si>
  <si>
    <t>3 sản phẩm đầu có biến thể Size S, M, L</t>
  </si>
  <si>
    <t>Mã của một sản phẩm có biến thể</t>
  </si>
  <si>
    <t>1. Gửi GET /api/variants/product/:id</t>
  </si>
  <si>
    <t>Mã 200; mỗi biến thể có tên, giá và tồn kho riêng</t>
  </si>
  <si>
    <t>Mã 200; danh sách có biến thể, bản ghi đầu có đủ variant_name, price, stock</t>
  </si>
  <si>
    <t>UC12</t>
  </si>
  <si>
    <t>Quản lý thêm sản phẩm mới hợp lệ</t>
  </si>
  <si>
    <t>Đăng nhập manager@tigershop.test</t>
  </si>
  <si>
    <t>name = SP cua Manager [thời điểm]; price = 250000; stock = 50; ảnh PNG hợp lệ</t>
  </si>
  <si>
    <t>1. Gửi POST /api/products dạng multipart
2. Truy vấn status và manager_id của sản phẩm mới</t>
  </si>
  <si>
    <t>Mã 200; sản phẩm có status = pending và manager_id là người tạo; chưa hiển thị trên gian hàng cho tới khi được duyệt (bước 5, hậu điều kiện UC12)</t>
  </si>
  <si>
    <t>Mã 200; sản phẩm có status = active ngay khi tạo, tức là lên gian hàng mà không qua bước duyệt</t>
  </si>
  <si>
    <t>Khiếm khuyết DEF-02, mức Cao (Bảng 3.36); kịch bản PROD-008b ghi nhận thêm DEF-03</t>
  </si>
  <si>
    <t>PROD-009</t>
  </si>
  <si>
    <t>Thêm sản phẩm khi bỏ trống tên và giá</t>
  </si>
  <si>
    <t>Đăng nhập Quản lý</t>
  </si>
  <si>
    <t>name rỗng; price rỗng</t>
  </si>
  <si>
    <t>1. Gửi POST /api/products</t>
  </si>
  <si>
    <t>Mã 400, thông báo Thiếu thông tin sản phẩm (ngoại lệ 2a)</t>
  </si>
  <si>
    <t>Mã 400, Thiếu thông tin sản phẩm</t>
  </si>
  <si>
    <t>PROD-010</t>
  </si>
  <si>
    <t>Tải lên tệp sai định dạng</t>
  </si>
  <si>
    <t>tailieu.pdf</t>
  </si>
  <si>
    <t>1. Gửi POST /api/products kèm tệp pdf ở trường image</t>
  </si>
  <si>
    <t>Từ chối tải lên, chỉ chấp nhận jpg, jpeg, png, webp (ngoại lệ 3a)</t>
  </si>
  <si>
    <t>Yêu cầu bị từ chối (kịch bản chỉ kiểm tra mã từ 400 trở lên); bộ lọc fileFilter trong productRoutes.js chặn tệp trước khi ghi đĩa</t>
  </si>
  <si>
    <t>PROD-011</t>
  </si>
  <si>
    <t>Tải lên ảnh vượt giới hạn dung lượng</t>
  </si>
  <si>
    <t>anh_lon.jpg dung lượng 6 MB</t>
  </si>
  <si>
    <t>1. Gửi POST /api/products kèm tệp</t>
  </si>
  <si>
    <t>Từ chối tải lên vì vượt giới hạn 5 MB (ngoại lệ 3a)</t>
  </si>
  <si>
    <t>Yêu cầu bị từ chối (kịch bản chỉ kiểm tra mã từ 400 trở lên)</t>
  </si>
  <si>
    <t>PROD-012</t>
  </si>
  <si>
    <t>Cập nhật thông tin sản phẩm</t>
  </si>
  <si>
    <t>price = 299000; stock = 80</t>
  </si>
  <si>
    <t>1. Gửi PUT /api/products/:id
2. Truy vấn price và stock</t>
  </si>
  <si>
    <t>Mã 200; giá và tồn kho được cập nhật đúng (bước 7)</t>
  </si>
  <si>
    <t>Mã 200; price = 299000, stock = 80</t>
  </si>
  <si>
    <t>PROD-013</t>
  </si>
  <si>
    <t>Xóa mềm và khôi phục sản phẩm</t>
  </si>
  <si>
    <t>Sản phẩm đang active</t>
  </si>
  <si>
    <t>Mã của một sản phẩm active</t>
  </si>
  <si>
    <t>1. Gửi DELETE /api/products/:id
2. Gửi GET /api/products
3. Gửi PATCH /api/products/:id/restore</t>
  </si>
  <si>
    <t>Sau khi xóa: deleted_at có giá trị, sản phẩm biến mất khỏi gian hàng. Sau khi khôi phục: deleted_at trở về NULL (ngoại lệ 7b)</t>
  </si>
  <si>
    <t>Cả hai thao tác trả mã 200; deleted_at có giá trị rồi trở về NULL; trong khoảng giữa, sản phẩm không có trong danh sách công khai</t>
  </si>
  <si>
    <t>PROD-014</t>
  </si>
  <si>
    <t>Thêm biến thể cho sản phẩm</t>
  </si>
  <si>
    <t>variant_name = Size XL mau do; price = 270000; stock = 20</t>
  </si>
  <si>
    <t>1. Gửi POST /api/variants
2. Truy vấn product_variants</t>
  </si>
  <si>
    <t>Mã 200, thông báo Thêm variant thành công; bản ghi biến thể được tạo (bước 6)</t>
  </si>
  <si>
    <t>Mã 200, Thêm variant thành công; bản ghi có stock = 20</t>
  </si>
  <si>
    <t>PROD-015</t>
  </si>
  <si>
    <t>Thêm biến thể khi thiếu dữ liệu bắt buộc</t>
  </si>
  <si>
    <t>Đăng nhập bằng tài khoản MANAGER</t>
  </si>
  <si>
    <t>variant_name rỗng; price rỗng</t>
  </si>
  <si>
    <t>1. Gửi POST /api/variants</t>
  </si>
  <si>
    <t>Mã 400, thông báo Thiếu dữ liệu variant (ngoại lệ 6a)</t>
  </si>
  <si>
    <t>Mã 400, Thiếu dữ liệu variant</t>
  </si>
  <si>
    <t>PROD-016</t>
  </si>
  <si>
    <t>Cập nhật tồn kho hàng loạt</t>
  </si>
  <si>
    <t>Sản phẩm có 3 biến thể</t>
  </si>
  <si>
    <t>Mảng updates gồm 3 cặp mã biến thể và tồn kho mới 5, 10, 15</t>
  </si>
  <si>
    <t>1. Gửi PUT /api/variants/bulk-stock
2. Truy vấn tồn kho các biến thể</t>
  </si>
  <si>
    <t>Cả 3 biến thể được cập nhật đúng; tổng tồn kho của sản phẩm cha được tính lại chính xác (ngoại lệ 7c)</t>
  </si>
  <si>
    <t>Mã 200; tồn kho 3 biến thể lần lượt đúng 5, 10, 15. Tổng tồn kho của sản phẩm cha chưa được kịch bản đối chiếu</t>
  </si>
  <si>
    <t>PROD-017</t>
  </si>
  <si>
    <t>UC13</t>
  </si>
  <si>
    <t>Quản trị viên duyệt sản phẩm chờ</t>
  </si>
  <si>
    <t>Có sản phẩm pending; đăng nhập admin@tigershop.test</t>
  </si>
  <si>
    <t>1. Gửi PATCH /api/products/:id/decision
2. Truy vấn products và user_activity_logs</t>
  </si>
  <si>
    <t>status chuyển thành active; sản phẩm xuất hiện trên gian hàng; nhật ký ghi lại quyết định (bước 4, 5)</t>
  </si>
  <si>
    <t>Mã 200; status = active; user_activity_logs có bản ghi mới chứa nội dung Duyệt sản phẩm</t>
  </si>
  <si>
    <t>PROD-018</t>
  </si>
  <si>
    <t>Quản trị viên từ chối sản phẩm kèm lý do</t>
  </si>
  <si>
    <t>Có sản phẩm pending</t>
  </si>
  <si>
    <t>status = hidden; reason = Anh san pham khong dat chuan</t>
  </si>
  <si>
    <t>1. Gửi PATCH /api/products/:id/decision
2. Truy vấn status và rejection_reason</t>
  </si>
  <si>
    <t>status chuyển thành hidden và rejection_reason lưu đúng lý do (ngoại lệ 3a)</t>
  </si>
  <si>
    <t>Mã 200; status = hidden; rejection_reason đúng nội dung. Kịch bản PROD-018b xác nhận giá trị nằm ngoài active và hidden bị từ chối với mã 400, Trạng thái không hợp lệ (ngoại lệ 3b)</t>
  </si>
  <si>
    <t>PROD-019</t>
  </si>
  <si>
    <t>Nhân viên cố gọi điểm cuối duyệt sản phẩm</t>
  </si>
  <si>
    <t>Đăng nhập bằng tài khoản STAFF</t>
  </si>
  <si>
    <t>token của staff@tigershop.test</t>
  </si>
  <si>
    <t>1. Gửi PATCH /api/products/:id/decision</t>
  </si>
  <si>
    <t>Mã 403 (ngoại lệ 1a)</t>
  </si>
  <si>
    <t>Mã 403</t>
  </si>
  <si>
    <t>PROD-020</t>
  </si>
  <si>
    <t>Đưa sản phẩm đã bị từ chối trở lại hàng đợi duyệt</t>
  </si>
  <si>
    <t>Có sản phẩm status = hidden</t>
  </si>
  <si>
    <t>Mã của sản phẩm bị từ chối</t>
  </si>
  <si>
    <t>1. Mở danh sách sản phẩm đã quyết định
2. Chọn sản phẩm
3. Nhấn Gửi duyệt lại</t>
  </si>
  <si>
    <t>status trở về pending, rejection_reason bị xóa, sản phẩm xuất hiện lại trong danh sách chờ (ngoại lệ 6a)</t>
  </si>
  <si>
    <t>Chưa có kết quả; điểm cuối PATCH /api/products/:id/restore-pending thuộc 14 điểm cuối chưa được bộ kiểm thử gọi tới (Bảng 2.13)</t>
  </si>
  <si>
    <t>Lý do: có thể kiểm thử ở mức API nhưng chưa có kịch bản (Bảng 3.38, dòng 5)</t>
  </si>
  <si>
    <t>PROD-021</t>
  </si>
  <si>
    <t>UC14</t>
  </si>
  <si>
    <t>Xem cảnh báo tồn kho thấp</t>
  </si>
  <si>
    <t>Dữ liệu mẫu có 3 sản phẩm tồn kho 3, 2 và 1</t>
  </si>
  <si>
    <t>token của manager@tigershop.test</t>
  </si>
  <si>
    <t>1. Gửi GET /api/products/inventory-alert</t>
  </si>
  <si>
    <t>Danh sách sản phẩm chưa bị xóa có tồn kho dưới 5, sắp xếp tăng dần (bước 2), kèm số sản phẩm trong thùng rác</t>
  </si>
  <si>
    <t>Mã 200; mọi mục đều có stock dưới 5 và theo thứ tự tăng dần. Số sản phẩm trong thùng rác chưa được kiểm tra</t>
  </si>
  <si>
    <t>PROD-022</t>
  </si>
  <si>
    <t>Nhập thêm hàng và kiểm tra nhật ký kho</t>
  </si>
  <si>
    <t>quantity = 50; note = Nhap bo sung</t>
  </si>
  <si>
    <t>1. Gửi POST /api/users/inventory/restock
2. Truy vấn stock
3. Truy vấn inventory_logs</t>
  </si>
  <si>
    <t>Tồn kho tăng đúng 50; inventory_logs ghi old_stock, new_stock, quantity_added và manager_id (hậu điều kiện UC14)</t>
  </si>
  <si>
    <t>Tồn kho tăng đúng 50 so với giá trị ban đầu; bản ghi inventory_logs có old_stock, new_stock và quantity_added = 50 đúng. Cột manager_id chưa được kiểm tra</t>
  </si>
  <si>
    <t>ORD-001</t>
  </si>
  <si>
    <t>UC06</t>
  </si>
  <si>
    <t>Thêm sản phẩm không có biến thể vào giỏ</t>
  </si>
  <si>
    <t>customer1 đã đăng nhập, sản phẩm còn hàng</t>
  </si>
  <si>
    <t>quantity = 2</t>
  </si>
  <si>
    <t>1. Mở trang chi tiết sản phẩm
2. Nhập số lượng 2
3. Nhấn Thêm vào giỏ</t>
  </si>
  <si>
    <t>Sản phẩm có trong giỏ với đúng số lượng; biểu tượng giỏ hàng cập nhật (bước 3)</t>
  </si>
  <si>
    <t>Chưa có kết quả</t>
  </si>
  <si>
    <t>ORD-002</t>
  </si>
  <si>
    <t>Thêm sản phẩm có biến thể nhưng chưa chọn biến thể</t>
  </si>
  <si>
    <t>Sản phẩm có Size S, M, L</t>
  </si>
  <si>
    <t>Không chọn biến thể</t>
  </si>
  <si>
    <t>1. Mở trang chi tiết
2. Nhấn Thêm vào giỏ</t>
  </si>
  <si>
    <t>Hiển thị cảnh báo; không thêm vào giỏ (ngoại lệ 1a)</t>
  </si>
  <si>
    <t>ORD-003</t>
  </si>
  <si>
    <t>Thêm số lượng vượt tồn kho</t>
  </si>
  <si>
    <t>San pham ton kho thap A còn 3</t>
  </si>
  <si>
    <t>quantity = 10</t>
  </si>
  <si>
    <t>1. Nhập số lượng 10
2. Nhấn Thêm vào giỏ</t>
  </si>
  <si>
    <t>Cảnh báo và giới hạn số lượng theo tồn kho là 3 (ngoại lệ 2a)</t>
  </si>
  <si>
    <t>ORD-004</t>
  </si>
  <si>
    <t>Nhập số lượng bằng 0 hoặc số âm</t>
  </si>
  <si>
    <t>Đang ở trang chi tiết sản phẩm</t>
  </si>
  <si>
    <t>quantity = 0; quantity = -1</t>
  </si>
  <si>
    <t>1. Nhập 0 rồi nhập -1
2. Nhấn Thêm vào giỏ</t>
  </si>
  <si>
    <t>Không cho phép thêm (ngoại lệ 2b)</t>
  </si>
  <si>
    <t>ORD-005</t>
  </si>
  <si>
    <t>Cập nhật số lượng và xóa mục trong giỏ</t>
  </si>
  <si>
    <t>Giỏ có 2 mục</t>
  </si>
  <si>
    <t>Mục thứ nhất đổi thành 3; xóa mục thứ hai</t>
  </si>
  <si>
    <t>1. Mở trang /cart
2. Tăng số lượng mục thứ nhất
3. Xóa mục thứ hai</t>
  </si>
  <si>
    <t>Tổng tiền tạm tính được tính lại đúng sau mỗi thao tác; mục bị xóa biến mất (bước 4, 5)</t>
  </si>
  <si>
    <t>ORD-006</t>
  </si>
  <si>
    <t>UC07</t>
  </si>
  <si>
    <t>Đặt hàng thành công với COD</t>
  </si>
  <si>
    <t>customer1 đã đăng nhập; sản phẩm tồn kho 50</t>
  </si>
  <si>
    <t>2 sản phẩm; shipping_address = 123 Nguyen Trai, Ha Noi; payment_method = cod</t>
  </si>
  <si>
    <t>1. Gửi POST /api/orders
2. Truy vấn tồn kho và bản ghi orders</t>
  </si>
  <si>
    <t>Mã 200 kèm orderId; đơn ở trạng thái pending với ngày giao dự kiến sau ba ngày; tồn kho giảm 2 (hậu điều kiện UC07)</t>
  </si>
  <si>
    <t>Mã 200, success = true, có orderId; expected_delivery đúng định dạng YYYY-MM-DD; status = pending, payment_method = cod; tồn kho giảm đúng 2. Giá trị cụ thể của ngày giao dự kiến chưa được đối chiếu</t>
  </si>
  <si>
    <t>ORD-007</t>
  </si>
  <si>
    <t>Đặt hàng thành công với chuyển khoản QR</t>
  </si>
  <si>
    <t>Giỏ hàng có sản phẩm, đã đăng nhập</t>
  </si>
  <si>
    <t>payment_method = qr</t>
  </si>
  <si>
    <t>1. Gửi POST /api/orders
2. Truy vấn orders</t>
  </si>
  <si>
    <t>Đơn có payment_method = qr; hội thoại hỗ trợ có thêm tin nhắn hệ thống (bước 4, 11)</t>
  </si>
  <si>
    <t>Mã 200; payment_method = qr. Tin nhắn hệ thống trong hội thoại chưa được kiểm tra</t>
  </si>
  <si>
    <t>ORD-008</t>
  </si>
  <si>
    <t>Đặt hàng khi giỏ rỗng</t>
  </si>
  <si>
    <t>Đã đăng nhập, giỏ hàng không có sản phẩm</t>
  </si>
  <si>
    <t>items = mảng rỗng</t>
  </si>
  <si>
    <t>1. Gửi POST /api/orders</t>
  </si>
  <si>
    <t>Mã 400, thông báo Giỏ hàng trống (ngoại lệ 7a)</t>
  </si>
  <si>
    <t>Mã 400, Giỏ hàng trống</t>
  </si>
  <si>
    <t>ORD-009</t>
  </si>
  <si>
    <t>Đặt hàng khi bỏ trống địa chỉ</t>
  </si>
  <si>
    <t>Giỏ hàng có sản phẩm</t>
  </si>
  <si>
    <t>shipping_address chỉ gồm khoảng trắng</t>
  </si>
  <si>
    <t>Mã 400, thông báo thiếu địa chỉ nhận hàng (ngoại lệ 7c)</t>
  </si>
  <si>
    <t>Mã 400, Thiếu địa chỉ nhận hàng</t>
  </si>
  <si>
    <t>ORD-010</t>
  </si>
  <si>
    <t>Đặt hàng với tổng tiền không hợp lệ</t>
  </si>
  <si>
    <t>Đã đăng nhập</t>
  </si>
  <si>
    <t>total = -50000; total = abc</t>
  </si>
  <si>
    <t>1. Gửi với tổng tiền âm
2. Gửi với tổng tiền không phải số</t>
  </si>
  <si>
    <t>Cả hai trả mã 400 (ngoại lệ 7b)</t>
  </si>
  <si>
    <t>Cả hai trả mã 400, Tổng tiền không hợp lệ</t>
  </si>
  <si>
    <t>ORD-011</t>
  </si>
  <si>
    <t>Đặt hàng khi không gửi token</t>
  </si>
  <si>
    <t>Không có header Authorization</t>
  </si>
  <si>
    <t>1. Gửi POST /api/orders
2. Đếm số đơn trước và sau</t>
  </si>
  <si>
    <t>Mã 401; không tạo đơn (ngoại lệ 6a)</t>
  </si>
  <si>
    <t>Mã 401; số đơn trong bảng orders không đổi</t>
  </si>
  <si>
    <t>ORD-012</t>
  </si>
  <si>
    <t>Đặt hàng vượt tồn kho</t>
  </si>
  <si>
    <t>San pham chi con mot cai có tồn kho 1</t>
  </si>
  <si>
    <t>quantity = 5</t>
  </si>
  <si>
    <t>1. Gửi POST /api/orders
2. Kiểm tra orders, order_items và products</t>
  </si>
  <si>
    <t>Hoàn tác toàn bộ giao dịch, báo Hết hàng; không tạo orders và order_items; tồn kho giữ nguyên 1 (ngoại lệ 9a)</t>
  </si>
  <si>
    <t>Mã 500, thông báo chứa Hết hàng; tồn kho vẫn là 1; không phát sinh bản ghi orders và order_items</t>
  </si>
  <si>
    <t>Đề xuất trả mã 409 cho lỗi nghiệp vụ (mục 3.5.2)</t>
  </si>
  <si>
    <t>ORD-013</t>
  </si>
  <si>
    <t>Tính nguyên tử của giao dịch đặt hàng</t>
  </si>
  <si>
    <t>Đơn hàng gồm 2 sản phẩm, sản phẩm thứ hai không đủ tồn kho</t>
  </si>
  <si>
    <t>Mục 1: 1 sản phẩm còn 50; mục 2: 99 sản phẩm chỉ còn 1; total = 1000</t>
  </si>
  <si>
    <t>1. Gửi đơn gồm hai mục
2. Kiểm tra tồn kho của mục 1 và số đơn</t>
  </si>
  <si>
    <t>Toàn bộ giao dịch bị hoàn tác; tồn kho mục 1 không bị trừ dù đã được xử lý trước (ngoại lệ 9a)</t>
  </si>
  <si>
    <t>Mã 500; tồn kho mục 1 giữ nguyên; số đơn không đổi</t>
  </si>
  <si>
    <t>ORD-014</t>
  </si>
  <si>
    <t>Hai yêu cầu đồng thời cho sản phẩm tồn kho thấp</t>
  </si>
  <si>
    <t>Đặt lại tồn kho bằng 1</t>
  </si>
  <si>
    <t>customer1 và customer2 cùng đặt 1 sản phẩm</t>
  </si>
  <si>
    <t>1. Gửi đồng thời hai yêu cầu bằng Promise.all
2. Kiểm tra kết quả và tồn kho</t>
  </si>
  <si>
    <t>Chỉ một yêu cầu thành công; tồn kho về 0 và không âm, nhờ câu lệnh cập nhật có điều kiện stock lớn hơn hoặc bằng số lượng (bước 9)</t>
  </si>
  <si>
    <t>Đúng một yêu cầu trả mã 200; tồn kho bằng 0</t>
  </si>
  <si>
    <t>Thiết kế thủ công, đã thực hiện bằng kịch bản Jest (Bảng 3.4)</t>
  </si>
  <si>
    <t>ORD-015</t>
  </si>
  <si>
    <t>Tin nhắn hệ thống sau khi đặt hàng thành công</t>
  </si>
  <si>
    <t>Vừa đặt hàng thành công</t>
  </si>
  <si>
    <t>orderId vừa tạo</t>
  </si>
  <si>
    <t>1. Đặt hàng
2. Mở hộp thoại hỗ trợ</t>
  </si>
  <si>
    <t>Hội thoại có tin nhắn hệ thống chứa mã đơn, tổng tiền, phương thức thanh toán; sự kiện new_message được phát (bước 11)</t>
  </si>
  <si>
    <t>Chưa có kết quả; cần quan sát sự kiện thời gian thực trên trình duyệt</t>
  </si>
  <si>
    <t>Lý do: cần hai phiên trình duyệt và sự kiện Socket.IO (rủi ro R08) (Bảng 3.38, dòng 3)</t>
  </si>
  <si>
    <t>ORD-016</t>
  </si>
  <si>
    <t>UC08</t>
  </si>
  <si>
    <t>Xem danh sách đơn hàng của chính mình</t>
  </si>
  <si>
    <t>customer1 có 5 đơn mẫu và các đơn tạo trong lượt chạy</t>
  </si>
  <si>
    <t>token của customer1</t>
  </si>
  <si>
    <t>1. Gửi GET /api/orders/my
2. So với các đơn của customer1 trong cơ sở dữ liệu</t>
  </si>
  <si>
    <t>Mã 200; đủ các đơn của chính khách hàng, theo thời gian giảm dần (bước 2)</t>
  </si>
  <si>
    <t>Mã 200; tập orderId trả về trùng khớp tập đơn của customer1. Thứ tự sắp xếp chưa được kiểm tra</t>
  </si>
  <si>
    <t>ORD-017</t>
  </si>
  <si>
    <t>Xem chi tiết đơn hàng</t>
  </si>
  <si>
    <t>Đơn thuộc về người dùng</t>
  </si>
  <si>
    <t>orderId của customer1</t>
  </si>
  <si>
    <t>1. Nhấn vào một đơn trong danh sách</t>
  </si>
  <si>
    <t>Trang /orders/:id hiển thị người nhận, mặt hàng, tổng tiền, phương thức thanh toán, trạng thái và ngày giao dự kiến (bước 4)</t>
  </si>
  <si>
    <t>Chưa có kết quả; kết quả mong đợi là nội dung hiển thị trên trang chi tiết đơn</t>
  </si>
  <si>
    <t>ORD-018</t>
  </si>
  <si>
    <t>Truy cập đơn hàng của người dùng khác</t>
  </si>
  <si>
    <t>customer2 có đơn</t>
  </si>
  <si>
    <t>token của customer1; orderId của customer2</t>
  </si>
  <si>
    <t>1. Gửi GET /api/orders/:id</t>
  </si>
  <si>
    <t>Không trả dữ liệu đơn, trả mã 404 (ngoại lệ 3a)</t>
  </si>
  <si>
    <t>Kịch bản chấp nhận mã 403 hoặc 404 và đạt; kịch bản tự bỏ qua bước kiểm tra nếu customer2 chưa có đơn, điều này phụ thuộc bên thắng ở ORD-014. Rà soát getOrderDetail xác nhận truy vấn lọc theo cả id và user_id, nên đơn của người khác nhận mã 404</t>
  </si>
  <si>
    <t>Mức kiểm chứng hạn chế: kịch bản có nhánh tự bỏ qua bước kiểm tra (Bảng 3.37, dòng 3)</t>
  </si>
  <si>
    <t>ORD-019</t>
  </si>
  <si>
    <t>Khách hàng hủy đơn đang pending</t>
  </si>
  <si>
    <t>Đơn hàng có status = pending thuộc về người dùng</t>
  </si>
  <si>
    <t>Đơn mới đặt gồm 2 sản phẩm</t>
  </si>
  <si>
    <t>1. Đặt đơn
2. Gửi POST /api/orders/:id/cancel
3. Kiểm tra status và tồn kho</t>
  </si>
  <si>
    <t>Đơn chuyển sang cancelled; tồn kho được hoàn trả đúng số lượng (ngoại lệ 4a)</t>
  </si>
  <si>
    <t>Mã 200; status = cancelled; tồn kho tăng lại đúng 2</t>
  </si>
  <si>
    <t>ORD-020</t>
  </si>
  <si>
    <t>Hủy đơn đã hoàn tất</t>
  </si>
  <si>
    <t>Đơn completed trong dữ liệu mẫu</t>
  </si>
  <si>
    <t>reason = Khach doi tra (cho nhân viên)</t>
  </si>
  <si>
    <t>1. Khách hàng gửi POST /api/orders/:id/cancel
2. Nhân viên gửi POST /api/orders/staff/:id/cancel</t>
  </si>
  <si>
    <t>Cả hai bị từ chối; đơn giữ trạng thái completed (UC08 ngoại lệ 4b, UC11 ngoại lệ 4b)</t>
  </si>
  <si>
    <t>Khách hàng: mã 400, Chỉ có thể hủy đơn hàng ở trạng thái Pending. Nhân viên (kịch bản ORD-020b): mã 400, Không thể hủy đơn hàng đã completed. Đơn vẫn là completed</t>
  </si>
  <si>
    <t>ORD-021</t>
  </si>
  <si>
    <t>UC11</t>
  </si>
  <si>
    <t>Nhân viên hủy đơn mà không nhập lý do</t>
  </si>
  <si>
    <t>staff@tigershop.test; có đơn pending</t>
  </si>
  <si>
    <t>reason rỗng</t>
  </si>
  <si>
    <t>1. Gửi POST /api/orders/staff/:id/cancel</t>
  </si>
  <si>
    <t>Từ chối hủy đơn vì bỏ trống lý do (ngoại lệ 4b)</t>
  </si>
  <si>
    <t>Mã 400, Staff phải nhập lý do hủy đơn</t>
  </si>
  <si>
    <t>Cập nhật trạng thái đơn theo tiến trình</t>
  </si>
  <si>
    <t>Lần lượt confirmed, shipping, completed; sau đó một giá trị nằm ngoài tập trạng thái</t>
  </si>
  <si>
    <t>1. Gửi PUT /api/orders/admin/:id/status qua từng bước
2. Kiểm tra user_activity_logs
3. Gửi giá trị không hợp lệ</t>
  </si>
  <si>
    <t>Mỗi bước hợp lệ đều thành công, ghi người xử lý và nhật ký thao tác (bước 4, 5); giá trị nằm ngoài năm trạng thái hợp lệ hoặc đi ngược tiến trình bị từ chối (ngoại lệ 4a)</t>
  </si>
  <si>
    <t>Kịch bản STAT trong category_stats.test.js gửi giá trị processing bằng token nhân viên: máy chủ trả mã thành công và cột status nhận giá trị processing. Bước (1) và (2) chưa có kịch bản riêng</t>
  </si>
  <si>
    <t>Khiếm khuyết DEF-11, mức Trung bình (Bảng 3.36); bằng chứng từ kịch bản nhóm STAT trong category_stats.test.js</t>
  </si>
  <si>
    <t>VOUC-001</t>
  </si>
  <si>
    <t>UC10</t>
  </si>
  <si>
    <t>Quản lý tạo voucher giảm theo phần trăm</t>
  </si>
  <si>
    <t>code = SALE[số ngẫu nhiên]; type = percent; value = 20; min_order_value = 200000; max_discount = 50000; quantity = 100; hiệu lực từ 01/01/2026 đến 31/12/2030</t>
  </si>
  <si>
    <t>1. Gửi POST /api/vouchers
2. Truy vấn bảng vouchers</t>
  </si>
  <si>
    <t>Voucher được tạo với status = active và used = 0 (bước 1)</t>
  </si>
  <si>
    <t>Yêu cầu thành công; đúng một bản ghi với status = active, used = 0</t>
  </si>
  <si>
    <t>VOUC-002</t>
  </si>
  <si>
    <t>Tạo voucher với mã đã tồn tại</t>
  </si>
  <si>
    <t>SALE20 có sẵn trong dữ liệu mẫu</t>
  </si>
  <si>
    <t>code = SALE20</t>
  </si>
  <si>
    <t>1. Gửi POST /api/vouchers
2. Đếm bản ghi có mã SALE20</t>
  </si>
  <si>
    <t>Từ chối tạo; không có bản ghi thứ hai (ngoại lệ 1a)</t>
  </si>
  <si>
    <t>Yêu cầu bị từ chối (kịch bản kiểm tra mã từ 400 trở lên); vẫn chỉ có một bản ghi SALE20</t>
  </si>
  <si>
    <t>VOUC-003</t>
  </si>
  <si>
    <t>Khách hàng xem danh sách voucher công khai</t>
  </si>
  <si>
    <t>Tồn tại voucher active còn hiệu lực</t>
  </si>
  <si>
    <t>1. Gửi GET /api/vouchers/public</t>
  </si>
  <si>
    <t>Chỉ gồm voucher đang hoạt động, còn hạn và còn lượt (bước 2)</t>
  </si>
  <si>
    <t>Mã 200; danh sách không chứa HETHAN (hết hạn) và HETLUOT (hết lượt)</t>
  </si>
  <si>
    <t>VOUC-004</t>
  </si>
  <si>
    <t>Khách hàng nhận voucher vào ví</t>
  </si>
  <si>
    <t>customer2 chưa có GIAM50K</t>
  </si>
  <si>
    <t>voucherId của GIAM50K</t>
  </si>
  <si>
    <t>1. Gửi POST /api/user-vouchers/receive/:voucherId
2. Truy vấn user_vouchers</t>
  </si>
  <si>
    <t>Bản ghi user_vouchers được tạo với used = 0 (bước 4)</t>
  </si>
  <si>
    <t>Yêu cầu thành công; đúng một bản ghi với used = 0</t>
  </si>
  <si>
    <t>VOUC-005</t>
  </si>
  <si>
    <t>Nhận lại voucher đã có trong ví</t>
  </si>
  <si>
    <t>customer1 đã có SALE20</t>
  </si>
  <si>
    <t>voucherId của SALE20</t>
  </si>
  <si>
    <t>1. Gửi yêu cầu nhận lần nữa
2. Đếm bản ghi user_vouchers</t>
  </si>
  <si>
    <t>Không cho nhận lần hai; không tạo bản ghi trùng (ngoại lệ 3b)</t>
  </si>
  <si>
    <t>Vẫn một bản ghi. Nội dung phản hồi chưa được kịch bản kiểm tra</t>
  </si>
  <si>
    <t>VOUC-006</t>
  </si>
  <si>
    <t>Nhận voucher đã hết lượt</t>
  </si>
  <si>
    <t>Voucher có used bằng quantity</t>
  </si>
  <si>
    <t>voucherId của HETLUOT (used = quantity = 5)</t>
  </si>
  <si>
    <t>1. Gửi POST /api/user-vouchers/receive/:voucherId</t>
  </si>
  <si>
    <t>Không cho nhận (ngoại lệ 3a)</t>
  </si>
  <si>
    <t>Mã 400, Voucher không hợp lệ hoặc đã hết</t>
  </si>
  <si>
    <t>VOUC-007</t>
  </si>
  <si>
    <t>Nhận voucher đã hết hạn</t>
  </si>
  <si>
    <t>Voucher có end_date nhỏ hơn ngày hiện tại</t>
  </si>
  <si>
    <t>voucherId của HETHAN (end_date là ngày hôm trước)</t>
  </si>
  <si>
    <t>Mã 400. Nội dung thông báo chưa được kịch bản kiểm tra</t>
  </si>
  <si>
    <t>VOUC-008</t>
  </si>
  <si>
    <t>Áp dụng voucher cho đơn đạt giá trị tối thiểu, mức giảm vượt trần</t>
  </si>
  <si>
    <t>Voucher SALE20 giảm 20 phần trăm, tối đa 50.000đ, đơn tối thiểu 200.000đ</t>
  </si>
  <si>
    <t>code = SALE20; total = 300000</t>
  </si>
  <si>
    <t>1. Gửi POST /api/vouchers/apply</t>
  </si>
  <si>
    <t>Mã 200; discount = 50000 do bị chặn bởi max_discount; finalTotal = 250000 (UC10 bước 5)</t>
  </si>
  <si>
    <t>Mã 200; discount = 50000; finalTotal = 250000. Kịch bản VOUC-008b tại biên 200.000 đ cho discount = 40000</t>
  </si>
  <si>
    <t>VOUC-009</t>
  </si>
  <si>
    <t>Áp dụng voucher cho đơn dưới giá trị tối thiểu</t>
  </si>
  <si>
    <t>Voucher yêu cầu đơn tối thiểu 200.000đ</t>
  </si>
  <si>
    <t>code = SALE20; total = 150000</t>
  </si>
  <si>
    <t>Không áp dụng giảm giá, báo đơn chưa đạt giá trị tối thiểu (ngoại lệ 5a)</t>
  </si>
  <si>
    <t>Mã 400, thông báo bắt đầu bằng Đơn tối thiểu. Theo mã nguồn, giá trị trong thông báo lấy thẳng từ cột DECIMAL nên hiển thị dạng 200000.00 thay vì 200.000</t>
  </si>
  <si>
    <t>Kịch bản VOUC-009c ghi nhận DEF-04</t>
  </si>
  <si>
    <t>VOUC-010</t>
  </si>
  <si>
    <t>Áp dụng mã voucher không tồn tại</t>
  </si>
  <si>
    <t>code = MAKHONGTONTAI; total = 500000</t>
  </si>
  <si>
    <t>Mã 400, thông báo Voucher không hợp lệ</t>
  </si>
  <si>
    <t>Mã 400, Voucher không hợp lệ</t>
  </si>
  <si>
    <t>Kịch bản VOUC-010b ghi nhận DEF-09</t>
  </si>
  <si>
    <t>VOUC-011</t>
  </si>
  <si>
    <t>Dùng voucher khi đặt hàng và đánh dấu đã dùng</t>
  </si>
  <si>
    <t>SALE20 có trong ví customer1, chưa dùng</t>
  </si>
  <si>
    <t>voucher_ids gồm mã của SALE20</t>
  </si>
  <si>
    <t>1. Gửi POST /api/orders kèm voucher
2. Truy vấn user_vouchers và vouchers</t>
  </si>
  <si>
    <t>Voucher trong ví được đánh dấu đã dùng, bộ đếm used tăng thêm 1, voucher chuyển không hoạt động khi hết lượt (UC07 bước 10)</t>
  </si>
  <si>
    <t>Mã 200; user_vouchers.used = 1; vouchers.used tăng đúng 1. Nhánh chuyển sang không hoạt động chưa được kiểm tra</t>
  </si>
  <si>
    <t>VOUC-012</t>
  </si>
  <si>
    <t>Dùng lại voucher đã sử dụng</t>
  </si>
  <si>
    <t>SALE20 vừa được dùng ở VOUC-011</t>
  </si>
  <si>
    <t>1. Gửi POST /api/orders
2. Kiểm tra tồn kho và số đơn</t>
  </si>
  <si>
    <t>Hoàn tác giao dịch, báo Voucher không khả dụng; không tạo đơn, không trừ tồn kho (UC07 ngoại lệ 10a)</t>
  </si>
  <si>
    <t>Mã 500, Voucher không khả dụng; tồn kho và số đơn không đổi</t>
  </si>
  <si>
    <t>REV-001</t>
  </si>
  <si>
    <t>UC09</t>
  </si>
  <si>
    <t>Đánh giá sản phẩm đã mua</t>
  </si>
  <si>
    <t>customer1 có đơn completed chứa sản phẩm trong dữ liệu mẫu</t>
  </si>
  <si>
    <t>rating = 5; comment = San pham rat tot</t>
  </si>
  <si>
    <t>1. Gửi POST /api/products/:id/reviews
2. Truy vấn product_reviews</t>
  </si>
  <si>
    <t>Mã 200, thông báo Đã lưu đánh giá sản phẩm; đánh giá được lưu (bước 6)</t>
  </si>
  <si>
    <t>Mã 200, Đã lưu đánh giá sản phẩm; bản ghi có rating = 5 và đúng nội dung</t>
  </si>
  <si>
    <t>REV-002</t>
  </si>
  <si>
    <t>Số sao nằm ngoài khoảng cho phép</t>
  </si>
  <si>
    <t>Khách hàng đủ điều kiện đánh giá</t>
  </si>
  <si>
    <t>rating = 0; rating = 6</t>
  </si>
  <si>
    <t>1. Gửi với điểm 0
2. Gửi với điểm 6</t>
  </si>
  <si>
    <t>Cả hai trả mã 400 (ngoại lệ 2a)</t>
  </si>
  <si>
    <t>Cả hai trả mã 400, Rating phải từ 1 đến 5. Kịch bản REV-002b xác nhận hai giá trị biên 1 và 5 được chấp nhận</t>
  </si>
  <si>
    <t>REV-003</t>
  </si>
  <si>
    <t>Đánh giá sản phẩm chưa từng mua</t>
  </si>
  <si>
    <t>customer2 chưa có đơn nào chứa sản phẩm</t>
  </si>
  <si>
    <t>rating = 5</t>
  </si>
  <si>
    <t>1. Gửi POST /api/products/:id/reviews</t>
  </si>
  <si>
    <t>Mã 403, thông báo Đánh giá chỉ khả dụng khi đơn đã hoàn tất (ngoại lệ 5a)</t>
  </si>
  <si>
    <t>Mã 403, Đánh giá chỉ khả dụng khi đơn đã hoàn tất</t>
  </si>
  <si>
    <t>REV-004</t>
  </si>
  <si>
    <t>Cập nhật đánh giá đã có</t>
  </si>
  <si>
    <t>customer1 đã đánh giá sản phẩm</t>
  </si>
  <si>
    <t>rating = 3; comment = Dung mot tuan thay binh thuong</t>
  </si>
  <si>
    <t>1. Gửi đánh giá lần hai
2. Đếm và đọc bản ghi product_reviews</t>
  </si>
  <si>
    <t>Cập nhật đánh giá cũ thay vì tạo mới, nhờ ràng buộc duy nhất (product_id, user_id) (ngoại lệ 6a)</t>
  </si>
  <si>
    <t>Mã 200; số bản ghi không đổi; rating = 3 và comment mới. Cột updated_at chưa được kiểm tra</t>
  </si>
  <si>
    <t>REV-005</t>
  </si>
  <si>
    <t>Đánh giá kèm ảnh minh họa</t>
  </si>
  <si>
    <t>rating = 4; review.png</t>
  </si>
  <si>
    <t>1. Gửi đánh giá kèm tệp ảnh
2. Truy vấn image_url</t>
  </si>
  <si>
    <t>Ảnh được lưu vào thư mục uploads, đường dẫn ghi vào image_url (bước 3)</t>
  </si>
  <si>
    <t>Mã 200; image_url bắt đầu bằng uploads/</t>
  </si>
  <si>
    <t>REV-006</t>
  </si>
  <si>
    <t>Nhân viên cố gửi đánh giá</t>
  </si>
  <si>
    <t>Mã 403; chỉ khách hàng được đánh giá (tác nhân của UC09)</t>
  </si>
  <si>
    <t>Mã 403, Chỉ khách hàng mới được đánh giá sản phẩm</t>
  </si>
  <si>
    <t>REV-007</t>
  </si>
  <si>
    <t>Xem danh sách đánh giá của sản phẩm</t>
  </si>
  <si>
    <t>Sản phẩm đã có đánh giá</t>
  </si>
  <si>
    <t>Mã sản phẩm đã đánh giá ở REV-001</t>
  </si>
  <si>
    <t>1. Gửi GET /api/products/:id/reviews</t>
  </si>
  <si>
    <t>Mã 200; đủ tên người đánh giá, số sao, nội dung và ảnh nếu có</t>
  </si>
  <si>
    <t>Mã 200; danh sách có ít nhất một đánh giá. Các trường của từng đánh giá chưa được kiểm tra</t>
  </si>
  <si>
    <t>REV-008</t>
  </si>
  <si>
    <t>Đánh giá khi đơn thanh toán QR chưa hoàn tất</t>
  </si>
  <si>
    <t>customer2 vừa đặt đơn QR, đơn có status = pending</t>
  </si>
  <si>
    <t>rating = 5; comment = Danh gia khi don QR con pending</t>
  </si>
  <si>
    <t>1. Đặt đơn QR
2. Xác nhận đơn đang pending
3. Gửi đánh giá cho sản phẩm trong đơn</t>
  </si>
  <si>
    <t>Mã 200, đánh giá được lưu, vì đơn thanh toán bằng chuyển khoản QR thỏa tiền điều kiện của UC09</t>
  </si>
  <si>
    <t>Mã 200, đánh giá được lưu khi đơn QR vẫn ở trạng thái pending</t>
  </si>
  <si>
    <t>Đơn QR thỏa tiền điều kiện UC09 theo mục 1.1.2; Thiết kế thủ công, đã thực hiện bằng kịch bản Jest (Bảng 3.4)</t>
  </si>
  <si>
    <t>CHAT-001</t>
  </si>
  <si>
    <t>UC21</t>
  </si>
  <si>
    <t>Tự động tạo hội thoại khi khách hàng mở hộp thoại hỗ trợ</t>
  </si>
  <si>
    <t>customer1 chưa có hội thoại</t>
  </si>
  <si>
    <t>1. Gửi GET /api/chat/my-thread hai lần
2. Đếm bản ghi threads của customer1</t>
  </si>
  <si>
    <t>Lần đầu tạo một hội thoại ở trạng thái open; lần sau dùng lại đúng hội thoại cũ, mỗi khách hàng có đúng một hội thoại (bước 2)</t>
  </si>
  <si>
    <t>Mã 200; hai lần trả về cùng một id; bảng threads có đúng một bản ghi của customer1</t>
  </si>
  <si>
    <t>CHAT-002</t>
  </si>
  <si>
    <t>Khách hàng gửi tin nhắn cho nhân viên</t>
  </si>
  <si>
    <t>Hội thoại đã tồn tại</t>
  </si>
  <si>
    <t>content = Cho minh hoi ve don hang</t>
  </si>
  <si>
    <t>1. Gửi POST /api/chat/messages
2. Truy vấn chat_messages</t>
  </si>
  <si>
    <t>Tin nhắn được lưu và phát sự kiện new_message tới phòng hội thoại (bước 5)</t>
  </si>
  <si>
    <t>Yêu cầu thành công; sender_role = USER, nội dung đúng. Sự kiện Socket.IO chưa kiểm chứng. Kịch bản CHAT-002b xác nhận tin nhắn chỉ gồm khoảng trắng bị từ chối với mã 400</t>
  </si>
  <si>
    <t>CHAT-003</t>
  </si>
  <si>
    <t>Khách hàng yêu cầu gặp nhân viên</t>
  </si>
  <si>
    <t>threadId hợp lệ</t>
  </si>
  <si>
    <t>1. Nhấn Gặp nhân viên
2. Quan sát trạng thái hội thoại và màn hình nhân viên</t>
  </si>
  <si>
    <t>Hội thoại chuyển sang staff_needed và sự kiện request_staff được phát tới nhân viên (bước 3)</t>
  </si>
  <si>
    <t>Chưa đủ kết quả. Kịch bản CHAT2-001 mới xác nhận phần máy chủ: status = staff_needed, is_human_needed = 1. Phần phát sự kiện tới nhân viên chưa kiểm chứng</t>
  </si>
  <si>
    <t>CHAT-004</t>
  </si>
  <si>
    <t>Nhân viên trả lời và khách hàng nhận tin theo thời gian thực</t>
  </si>
  <si>
    <t>Hai trình duyệt đang mở</t>
  </si>
  <si>
    <t>message = Chao ban, minh ho tro ngay</t>
  </si>
  <si>
    <t>1. Nhân viên gửi tin
2. Quan sát màn hình khách hàng mà không tải lại trang</t>
  </si>
  <si>
    <t>Tin nhắn xuất hiện tức thì trên màn hình khách hàng (bước 5)</t>
  </si>
  <si>
    <t>CHAT-005</t>
  </si>
  <si>
    <t>Giới hạn tần suất gửi tin qua Socket.IO</t>
  </si>
  <si>
    <t>Hội thoại đang mở</t>
  </si>
  <si>
    <t>8 tin nhắn liên tiếp trong 60 giây</t>
  </si>
  <si>
    <t>1. Gửi liên tục 8 tin
2. Ghi nhận phản hồi</t>
  </si>
  <si>
    <t>Năm tin đầu được xử lý; từ tin thứ 6 bị chặn tạm thời (ngoại lệ 5a)</t>
  </si>
  <si>
    <t>CHAT-006</t>
  </si>
  <si>
    <t>Tự động kết nối lại khi mất kết nối WebSocket</t>
  </si>
  <si>
    <t>Ngắt mạng 10 giây rồi khôi phục</t>
  </si>
  <si>
    <t>1. Ngắt mạng
2. Chờ 10 giây
3. Khôi phục mạng và gửi tin mới</t>
  </si>
  <si>
    <t>Giao diện tự kết nối lại; tin mới gửi thành công; không mất lịch sử (ngoại lệ 5b)</t>
  </si>
  <si>
    <t>CHAT-007</t>
  </si>
  <si>
    <t>Xem danh sách hội thoại hỗ trợ</t>
  </si>
  <si>
    <t>Đã có hội thoại của customer1</t>
  </si>
  <si>
    <t>token của admin (điểm cuối cho phép ADMIN, MANAGER, STAFF)</t>
  </si>
  <si>
    <t>1. Gửi GET /api/chat/admin/threads</t>
  </si>
  <si>
    <t>Danh sách hội thoại kèm email khách hàng và thời điểm tin nhắn cuối, sắp xếp giảm dần (ngoại lệ 7a)</t>
  </si>
  <si>
    <t>Mã 200; mỗi phần tử có threadId, userId, email. Thứ tự sắp xếp chưa được kiểm tra</t>
  </si>
  <si>
    <t>CHAT-008</t>
  </si>
  <si>
    <t>Xem nhanh đơn hàng của khách trong khung hội thoại</t>
  </si>
  <si>
    <t>customer1 có đơn</t>
  </si>
  <si>
    <t>userId của customer1; token của admin</t>
  </si>
  <si>
    <t>1. Gửi GET /api/chat/admin/users/:userId/orders</t>
  </si>
  <si>
    <t>Trả về đúng danh sách đơn của khách hàng đó (bước 7)</t>
  </si>
  <si>
    <t>Mã 200. Nội dung danh sách chưa được đối chiếu</t>
  </si>
  <si>
    <t>Khách hàng cố đọc hội thoại không thuộc về mình</t>
  </si>
  <si>
    <t>customer2 có hội thoại chứa tin nhắn riêng</t>
  </si>
  <si>
    <t>token của customer1; threadId của customer2; tin nhắn mẫu Thong tin rieng tu cua khach hang 2</t>
  </si>
  <si>
    <t>1. Gửi GET /api/chat/messages/:threadId bằng token của customer1</t>
  </si>
  <si>
    <t>Hệ thống từ chối; chỉ chủ hội thoại, nhân viên và Quản trị viên được đọc (ngoại lệ 5c)</t>
  </si>
  <si>
    <t>Mã 200; phản hồi chứa nguyên văn tin nhắn riêng tư của customer2</t>
  </si>
  <si>
    <t>Khiếm khuyết DEF-08, trùng VUL-01, mức Nghiêm trọng (Bảng 3.36)</t>
  </si>
  <si>
    <t>CHAT-010</t>
  </si>
  <si>
    <t>UC22</t>
  </si>
  <si>
    <t>Nhận thông báo khi trạng thái đơn hàng thay đổi</t>
  </si>
  <si>
    <t>Khách hàng có đơn đang xử lý</t>
  </si>
  <si>
    <t>Nhân viên đổi đơn sang shipping</t>
  </si>
  <si>
    <t>1. Nhân viên cập nhật trạng thái đơn
2. Khách hàng quan sát biểu tượng chuông</t>
  </si>
  <si>
    <t>notifications có bản ghi cho đúng người dùng; số chưa đọc trên biểu tượng chuông tăng 1 (bước 1, 2)</t>
  </si>
  <si>
    <t>Chưa có kết quả; cần quan sát giao diện khách hàng trong lúc nhân viên thao tác</t>
  </si>
  <si>
    <t>CHAT-011</t>
  </si>
  <si>
    <t>Đánh dấu đã đọc và bộ lọc loại thông báo</t>
  </si>
  <si>
    <t>customer1 có thông báo chưa đọc</t>
  </si>
  <si>
    <t>Chèn 1 thông báo loại order và 1 thông báo loại low_stock chưa đọc</t>
  </si>
  <si>
    <t>1. Gửi GET /api/notifications/unread
2. Gửi GET /api/notifications
3. Gửi PUT /api/notifications/mark-read
4. Đếm lại</t>
  </si>
  <si>
    <t>Số chưa đọc không tính các loại admin_report, low_stock, revenue (ngoại lệ 2b); sau khi đánh dấu, số chưa đọc về 0 (bước 4)</t>
  </si>
  <si>
    <t>count = 1 (không tính low_stock); sau khi đánh dấu, count = 0. Kịch bản CHAT-011b xác nhận customer1 không thấy thông báo của customer2 (ngoại lệ 3a)</t>
  </si>
  <si>
    <t>AI-001</t>
  </si>
  <si>
    <t>UC20</t>
  </si>
  <si>
    <t>Gửi câu hỏi tư vấn hợp lệ</t>
  </si>
  <si>
    <t>Đã cấu hình GEMINI_API_KEY; kho có sản phẩm còn hàng</t>
  </si>
  <si>
    <t>message = Minh muon tim ao khoac mua dong duoi 500 nghin</t>
  </si>
  <si>
    <t>1. Gửi POST /api/chat/ai/talk</t>
  </si>
  <si>
    <t>Mã 200 kèm câu trả lời; chỉ dẫn hệ thống gửi cho mô hình gemini-2.5-flash chứa danh mục sản phẩm đang hoạt động, chưa bị xóa và còn hàng (bước 5, 6, 8)</t>
  </si>
  <si>
    <t>Mã 200, reply không rỗng, mô hình được gọi đúng một lần. Kịch bản AI-001b xác nhận chỉ dẫn hệ thống chứa tên sản phẩm còn hàng có thật và mô hình được chọn là gemini-2.5-flash</t>
  </si>
  <si>
    <t>AI-002</t>
  </si>
  <si>
    <t>Gửi tin nhắn rỗng</t>
  </si>
  <si>
    <t>message rỗng; message chỉ gồm khoảng trắng</t>
  </si>
  <si>
    <t>1. Gửi hai tin nhắn</t>
  </si>
  <si>
    <t>Mã 400 (ngoại lệ 2a)</t>
  </si>
  <si>
    <t>Cả hai trả mã 400, Tin nhắn không được để trống; mô hình không bị gọi</t>
  </si>
  <si>
    <t>AI-003</t>
  </si>
  <si>
    <t>Lưu lịch sử hội thoại</t>
  </si>
  <si>
    <t>Đã gửi ít nhất 1 câu hỏi</t>
  </si>
  <si>
    <t>message = Cau hoi luu lich su</t>
  </si>
  <si>
    <t>1. Gửi câu hỏi
2. Truy vấn ai_chat_messages</t>
  </si>
  <si>
    <t>Câu hỏi (vai USER) và câu trả lời (vai AI) được lưu (bước 7)</t>
  </si>
  <si>
    <t>Tổng số tin tăng đúng 2; hai bản ghi mới có role USER và AI</t>
  </si>
  <si>
    <t>AI-004</t>
  </si>
  <si>
    <t>Mỗi người dùng chỉ có một phiên AI</t>
  </si>
  <si>
    <t>Người dùng đã có phiên AI</t>
  </si>
  <si>
    <t>Gửi 3 câu hỏi liên tiếp</t>
  </si>
  <si>
    <t>1. Gửi 3 câu hỏi
2. Đếm ai_chat_sessions của customer1</t>
  </si>
  <si>
    <t>Đúng một bản ghi phiên, được dùng lại (hậu điều kiện UC20)</t>
  </si>
  <si>
    <t>Đúng một bản ghi</t>
  </si>
  <si>
    <t>AI-005</t>
  </si>
  <si>
    <t>Duy trì ngữ cảnh nhiều lượt</t>
  </si>
  <si>
    <t>Đã có lịch sử hội thoại</t>
  </si>
  <si>
    <t>message = Cai do con size L khong</t>
  </si>
  <si>
    <t>1. Gửi câu hỏi dùng đại từ thay thế</t>
  </si>
  <si>
    <t>10 tin nhắn gần nhất được nạp và chuẩn hóa thành hội thoại nhiều lượt gửi kèm yêu cầu tới mô hình (bước 4)</t>
  </si>
  <si>
    <t>Lịch sử gửi kèm mô hình không rỗng, bắt đầu bằng lượt của người dùng và không quá 10 tin</t>
  </si>
  <si>
    <t>AI-006</t>
  </si>
  <si>
    <t>Hỏi về sản phẩm không có trong kho</t>
  </si>
  <si>
    <t>Kho hàng không có sản phẩm loại này</t>
  </si>
  <si>
    <t>message = Shop co ban xe may khong</t>
  </si>
  <si>
    <t>1. Gửi câu hỏi</t>
  </si>
  <si>
    <t>Trợ lý trả lời trung thực là không có, không bịa sản phẩm</t>
  </si>
  <si>
    <t>Chưa có kết quả; nội dung câu trả lời phụ thuộc chất lượng của Gemini, chỉ đánh giá được khi gọi dịch vụ thật</t>
  </si>
  <si>
    <t>Lý do: kết quả mong đợi thuộc chất lượng nội tại của Gemini (Bảng 2.3) (Bảng 3.38, dòng 4)</t>
  </si>
  <si>
    <t>AI-007</t>
  </si>
  <si>
    <t>Xử lý khi thiếu khóa API Gemini</t>
  </si>
  <si>
    <t>Xóa hoặc để trống biến môi trường GEMINI_API_KEY</t>
  </si>
  <si>
    <t>Xóa biến môi trường GEMINI_API_KEY; message = Xin chao</t>
  </si>
  <si>
    <t>1. Gửi câu hỏi khi thiếu khóa</t>
  </si>
  <si>
    <t>Phản hồi success: false kèm thông báo Tiger AI đang bảo trì; hệ thống không sập (ngoại lệ 3a; mục 1.3.6)</t>
  </si>
  <si>
    <t>Mã 200, success = false, thông báo chứa cụm bảo trì; mô hình không bị gọi</t>
  </si>
  <si>
    <t>Trả mã 200 cho phản hồi thất bại, ghi nhận PERF-04 ở Chương V; Thiết kế thủ công, đã thực hiện bằng kịch bản Jest (Bảng 3.4)</t>
  </si>
  <si>
    <t>Thời gian phản hồi của trợ lý ảo</t>
  </si>
  <si>
    <t>Đã cấu hình GEMINI_API_KEY; gọi dịch vụ Gemini thật, không giả lập</t>
  </si>
  <si>
    <t>10 câu hỏi khác nhau (thực tế đo 6 câu)</t>
  </si>
  <si>
    <t>1. Gửi tuần tự từng câu tới Gemini thật
2. Ghi thời gian từ lúc gửi tới lúc nhận đủ câu trả lời</t>
  </si>
  <si>
    <t>Thời gian phản hồi trung bình dưới 5.000 ms (Bảng 1.31, chỉ tiêu 3)</t>
  </si>
  <si>
    <t>Đo 6 lượt (mục 5.4.5): trung bình 5.017 ms; 1 trên 6 lượt nhận thông báo bảo trì thay vì câu trả lời. Cỡ mẫu nhỏ hơn thiết kế</t>
  </si>
  <si>
    <t>Đo trực tiếp với Gemini thật</t>
  </si>
  <si>
    <t>Khiếm khuyết PERF-03, mức Trung bình (Bảng 3.36); cỡ mẫu 6 lượt, nhỏ hơn 10 lượt đã thiết kế; Thiết kế thủ công, thực hiện bằng phép đo riêng 6 lượt (mục 5.4.5)</t>
  </si>
  <si>
    <t>AI-009</t>
  </si>
  <si>
    <t>Gợi ý voucher theo từ khóa</t>
  </si>
  <si>
    <t>Hệ thống hoạt động bình thường</t>
  </si>
  <si>
    <t>message = Sản phẩm này hơi đắt so với mình</t>
  </si>
  <si>
    <t>1. Gửi câu hỏi có từ khóa đắt</t>
  </si>
  <si>
    <t>Phản hồi kèm gợi ý mã TIGER_PROMO_10 (ngoại lệ 8a)</t>
  </si>
  <si>
    <t>Mã 200; voucher = TIGER_PROMO_10. Kịch bản AI-009b xác nhận câu hỏi thông thường không kèm voucher</t>
  </si>
  <si>
    <t>Kịch bản AI-009c ghi nhận DEF-10</t>
  </si>
  <si>
    <t>AI-010</t>
  </si>
  <si>
    <t>Xóa lịch sử hội thoại với trợ lý</t>
  </si>
  <si>
    <t>Người dùng có lịch sử hội thoại</t>
  </si>
  <si>
    <t>1. Gửi DELETE /api/chat/ai/history
2. Đếm ai_chat_messages và ai_chat_sessions</t>
  </si>
  <si>
    <t>Toàn bộ tin nhắn của phiên bị xóa; bản ghi phiên được giữ lại (ngoại lệ 8b)</t>
  </si>
  <si>
    <t>Mã 200; ai_chat_messages về 0; ai_chat_sessions vẫn là 1. Kịch bản AI-010b xác nhận lịch sử mới được ghi lại bình thường sau khi xóa</t>
  </si>
  <si>
    <t>HR-001</t>
  </si>
  <si>
    <t>UC15</t>
  </si>
  <si>
    <t>Nhân viên vào ca thành công</t>
  </si>
  <si>
    <t>staff@tigershop.test là nhân viên chính thức, không có phiên đang mở</t>
  </si>
  <si>
    <t>token của staff</t>
  </si>
  <si>
    <t>1. Gửi POST /api/users/attendance/clock-in
2. Truy vấn attendance_sessions</t>
  </si>
  <si>
    <t>Mã 201 kèm session_id; phiên mới có status = open, wage_rate đúng theo employment_status (bước 4, 5)</t>
  </si>
  <si>
    <t>Mã 201; session_id là số; status = open; check_out_at là NULL; wage_rate = 25000</t>
  </si>
  <si>
    <t>HR-002</t>
  </si>
  <si>
    <t>Vào ca lần hai khi đang có ca chưa đóng</t>
  </si>
  <si>
    <t>Đã vào ca ở HR-001</t>
  </si>
  <si>
    <t>1. Gửi lại POST /api/users/attendance/clock-in</t>
  </si>
  <si>
    <t>Mã 400 kèm thông báo còn ca làm chưa kết thúc; không tạo phiên thứ hai (ngoại lệ 3a)</t>
  </si>
  <si>
    <t>Mã 400, Bạn đang có ca làm chưa check-out</t>
  </si>
  <si>
    <t>HR-003</t>
  </si>
  <si>
    <t>Tài khoản không phải Nhân viên cố chấm công</t>
  </si>
  <si>
    <t>Đăng nhập bằng tài khoản CUSTOMER hoặc MANAGER</t>
  </si>
  <si>
    <t>token của customer1 và của manager</t>
  </si>
  <si>
    <t>1. Gửi POST /api/users/attendance/clock-in bằng từng token</t>
  </si>
  <si>
    <t>Mã 403, thông báo Chỉ Staff được chấm công (ngoại lệ 2a)</t>
  </si>
  <si>
    <t>Cả hai tài khoản nhận mã 403 với đúng thông báo</t>
  </si>
  <si>
    <t>HR-004</t>
  </si>
  <si>
    <t>Nhân viên chưa được duyệt cố chấm công</t>
  </si>
  <si>
    <t>Tài khoản STAFF có status khác active</t>
  </si>
  <si>
    <t>staff.pending@tigershop.test (status = pending)</t>
  </si>
  <si>
    <t>1. Đăng nhập
2. Gửi POST /api/users/attendance/clock-in</t>
  </si>
  <si>
    <t>Nhân viên chưa được duyệt không chấm công được, bị chặn với mã 403 (UC15 ngoại lệ 2b; UC02 ngoại lệ 5a)</t>
  </si>
  <si>
    <t>Tài khoản bị chặn ngay ở bước đăng nhập với mã 403, thông báo Tài khoản đang chờ duyệt, nên không có token để gọi điểm cuối chấm công. Nhánh kiểm tra Staff chưa active tại điểm cuối chấm công chưa được kích hoạt</t>
  </si>
  <si>
    <t>HR-005</t>
  </si>
  <si>
    <t>Kết thúc ca và tính số giây làm việc</t>
  </si>
  <si>
    <t>Có phiên đang mở từ HR-001</t>
  </si>
  <si>
    <t>1. Gửi POST /api/users/attendance/clock-out
2. Truy vấn phiên vừa đóng</t>
  </si>
  <si>
    <t>Phiên chuyển sang closed; check_out_at là thời điểm kết thúc ca; worked_seconds tính bằng TIMESTAMPDIFF (bước 7)</t>
  </si>
  <si>
    <t>Mã 200; status = closed; check_out_at có giá trị; worked_seconds không âm. Kịch bản không chờ 60 giây như thiết kế nên chưa đối chiếu giá trị cụ thể</t>
  </si>
  <si>
    <t>HR-006</t>
  </si>
  <si>
    <t>Kết thúc ca khi không có ca nào đang mở</t>
  </si>
  <si>
    <t>Đã kết thúc ca ở HR-005</t>
  </si>
  <si>
    <t>1. Gửi POST /api/users/attendance/clock-out</t>
  </si>
  <si>
    <t>Mã 400 (ngoại lệ 6a)</t>
  </si>
  <si>
    <t>Mã 400, Không có ca làm đang mở để check-out</t>
  </si>
  <si>
    <t>HR-007</t>
  </si>
  <si>
    <t>Đơn giá giờ công theo trạng thái lao động</t>
  </si>
  <si>
    <t>Một nhân viên thử việc và một nhân viên chính thức</t>
  </si>
  <si>
    <t>probation_hourly_rate = 20000; official_hourly_rate = 25000</t>
  </si>
  <si>
    <t>1. Cho staff.probation@tigershop.test vào ca
2. So sánh wage_rate với phiên của HR-001</t>
  </si>
  <si>
    <t>Phiên của nhân viên thử việc có wage_rate = 20000; phiên của nhân viên chính thức có wage_rate = 25000 (bước 4)</t>
  </si>
  <si>
    <t>Phiên thử việc có wage_rate = 20000; phiên chính thức ở HR-001 có wage_rate = 25000</t>
  </si>
  <si>
    <t>HR-008</t>
  </si>
  <si>
    <t>UC16</t>
  </si>
  <si>
    <t>Nhân viên đăng ký ca làm việc</t>
  </si>
  <si>
    <t>Đăng nhập staff@tigershop.test</t>
  </si>
  <si>
    <t>shift_date = ngày mai; start_time = 08:00; end_time = 17:00; note = Ca sang</t>
  </si>
  <si>
    <t>1. Gửi POST /api/shifts/register
2. Truy vấn shift_registrations</t>
  </si>
  <si>
    <t>Bản ghi đăng ký ca được tạo ở trạng thái pending (bước 3)</t>
  </si>
  <si>
    <t>Yêu cầu thành công; status = pending. Kịch bản HR-008b xác nhận thiếu trường bắt buộc bị từ chối với mã 400; HR-008c xác nhận nhân viên xem được ca của mình</t>
  </si>
  <si>
    <t>HR-009</t>
  </si>
  <si>
    <t>Đăng ký ca với giờ kết thúc sớm hơn giờ bắt đầu</t>
  </si>
  <si>
    <t>Đăng nhập bằng STAFF</t>
  </si>
  <si>
    <t>start_time = 17:00; end_time = 08:00</t>
  </si>
  <si>
    <t>1. Nhập khung giờ không hợp lý
2. Nhấn Đăng ký</t>
  </si>
  <si>
    <t>Từ chối đăng ký vì giờ kết thúc không sau giờ bắt đầu (ngoại lệ 1a; Hình 1.14)</t>
  </si>
  <si>
    <t>Chưa có kết quả; chưa có kịch bản cho trường hợp này</t>
  </si>
  <si>
    <t>HR-010</t>
  </si>
  <si>
    <t>Quản lý duyệt và từ chối ca làm việc</t>
  </si>
  <si>
    <t>Có ca pending từ HR-008; đăng nhập manager@tigershop.test</t>
  </si>
  <si>
    <t>status = approved cho ca thứ nhất; status = rejected cho ca thứ hai</t>
  </si>
  <si>
    <t>1. Gửi PATCH /api/shifts/:id/status để duyệt
2. Gửi PATCH để từ chối ca thứ hai
3. Truy vấn status và manager_id</t>
  </si>
  <si>
    <t>Ca thứ nhất approved, ca thứ hai rejected; cả hai ghi nhận người xử lý (bước 5, 6)</t>
  </si>
  <si>
    <t>Ca thứ nhất chuyển approved, manager_id có giá trị. Nhánh từ chối chưa có kịch bản. Kịch bản HR-010b xác nhận nhân viên tự duyệt ca của mình bị chặn với mã 403</t>
  </si>
  <si>
    <t>HR-011</t>
  </si>
  <si>
    <t>UC17</t>
  </si>
  <si>
    <t>Nhân viên gửi đơn xin đi muộn</t>
  </si>
  <si>
    <t>request_type = late; request_date = ngày mai; minutes_late = 30; reason = Tac duong</t>
  </si>
  <si>
    <t>1. Gửi POST /api/users/staff/requests
2. Truy vấn staff_requests</t>
  </si>
  <si>
    <t>Đơn được lưu ở trạng thái pending với đúng số phút đi muộn (bước 2, 4)</t>
  </si>
  <si>
    <t>Yêu cầu thành công; request_type = late, minutes_late = 30, status = pending</t>
  </si>
  <si>
    <t>HR-012</t>
  </si>
  <si>
    <t>Gửi đơn khi bỏ trống lý do</t>
  </si>
  <si>
    <t>request_type = leave; reason rỗng</t>
  </si>
  <si>
    <t>1. Gửi POST /api/users/staff/requests</t>
  </si>
  <si>
    <t>Mã 400, thông báo Thiếu thông tin đơn xin (ngoại lệ 2a)</t>
  </si>
  <si>
    <t>Mã 400; nội dung thông báo chưa được kịch bản kiểm tra. Kịch bản HR-012b xác nhận Quản lý duyệt được đơn từ, status chuyển approved (bước 5)</t>
  </si>
  <si>
    <t>HR-013</t>
  </si>
  <si>
    <t>UC19</t>
  </si>
  <si>
    <t>Quản lý xem bảng lương toàn bộ nhân viên</t>
  </si>
  <si>
    <t>Có phiên chấm công đã đóng</t>
  </si>
  <si>
    <t>token của manager; month = tháng hiện tại</t>
  </si>
  <si>
    <t>1. Gửi GET /api/users/staff/payroll?month=YYYY-MM
2. Đối chiếu với truy vấn SQL</t>
  </si>
  <si>
    <t>Lương của từng nhân viên bằng tổng worked_seconds chia 3600 nhân wage_rate lưu trong từng phiên (bước 2, 3)</t>
  </si>
  <si>
    <t>Mã 200. Số liệu chưa được đối chiếu với truy vấn SQL. Kịch bản HR-013b xác nhận thiếu tham số month bị từ chối với mã 400</t>
  </si>
  <si>
    <t>Mức kiểm chứng hạn chế: chỉ kiểm tra mã trạng thái (Bảng 3.37, dòng 1); Thiết kế thủ công, đã thực hiện bằng kịch bản Jest (Bảng 3.4)</t>
  </si>
  <si>
    <t>HR-014</t>
  </si>
  <si>
    <t>Nhân viên xem bảng lương cá nhân</t>
  </si>
  <si>
    <t>Nhân viên có ít nhất 1 phiên chấm công đã đóng</t>
  </si>
  <si>
    <t>token của staff; month = tháng hiện tại</t>
  </si>
  <si>
    <t>1. Gửi GET /api/users/staff/payroll/me?month=YYYY-MM</t>
  </si>
  <si>
    <t>Chỉ có dữ liệu của chính nhân viên đó, kèm chi tiết từng phiên (bước 5)</t>
  </si>
  <si>
    <t>Mã 200. Nội dung chưa được đối chiếu</t>
  </si>
  <si>
    <t>HR-015</t>
  </si>
  <si>
    <t>Nhân viên cố xem bảng lương toàn bộ</t>
  </si>
  <si>
    <t>1. Gửi GET /api/users/staff/payroll?month=YYYY-MM</t>
  </si>
  <si>
    <t>Từ chối với mã 403; nhân viên chỉ xem được bảng lương của mình (ngoại lệ 5a)</t>
  </si>
  <si>
    <t>ADM-001</t>
  </si>
  <si>
    <t>UC18</t>
  </si>
  <si>
    <t>Duyệt tài khoản nhân viên đang chờ</t>
  </si>
  <si>
    <t>staff.pending@tigershop.test có status = pending</t>
  </si>
  <si>
    <t>token của admin; token của manager</t>
  </si>
  <si>
    <t>1. Gửi PATCH /api/users/staff/:id/approve bằng token của Quản trị viên
2. Gửi cùng yêu cầu bằng token của Quản lý (kịch bản ADM-001b)</t>
  </si>
  <si>
    <t>Quản trị viên duyệt được: tài khoản chuyển active, nhân viên bắt đầu ở trạng thái thử việc (bước 4). Quản lý bị từ chối với mã 403, thông báo Chỉ Admin mới được duyệt tài khoản (ngoại lệ 4b)</t>
  </si>
  <si>
    <t>Token Quản trị viên: yêu cầu thành công, status = active. Token Quản lý: mã 403 với đúng thông báo. Giá trị employment_status sau khi duyệt chưa được kiểm tra</t>
  </si>
  <si>
    <t>Kịch bản ADM-001b ghi nhận DEF-05 (phân quyền đặt ở hai nơi); Mức kiểm chứng hạn chế: chỉ kiểm tra một phần kết quả mong đợi (Bảng 3.37, dòng 2)</t>
  </si>
  <si>
    <t>ADM-002</t>
  </si>
  <si>
    <t>Chuyển nhân viên từ thử việc sang chính thức</t>
  </si>
  <si>
    <t>staff.probation@tigershop.test đang thử việc</t>
  </si>
  <si>
    <t>token của manager</t>
  </si>
  <si>
    <t>1. Gửi PATCH /api/users/staff/:id/official
2. Truy vấn employment_status và official_at</t>
  </si>
  <si>
    <t>employment_status chuyển official; official_at được ghi nhận; các phiên chấm công sau đó dùng official_hourly_rate (bước 5)</t>
  </si>
  <si>
    <t>Yêu cầu thành công; employment_status = official; official_at có giá trị. Việc vào ca lại với đơn giá mới chưa được kiểm tra</t>
  </si>
  <si>
    <t>ADM-003</t>
  </si>
  <si>
    <t>UC23</t>
  </si>
  <si>
    <t>Quản trị viên thay đổi vai trò người dùng</t>
  </si>
  <si>
    <t>Đăng nhập admin@tigershop.test</t>
  </si>
  <si>
    <t>Tài khoản customer2; role_id = 3</t>
  </si>
  <si>
    <t>1. Gửi PUT /api/users/:id/role
2. Truy vấn role_id
3. Đăng nhập lại bằng tài khoản đó</t>
  </si>
  <si>
    <t>role_id được cập nhật (bước 3, 4); sau khi đăng nhập lại, người dùng vào không gian làm việc của vai trò mới</t>
  </si>
  <si>
    <t>Yêu cầu thành công; role_id = 3. Phần đăng nhập lại và chuyển trang chưa kiểm chứng</t>
  </si>
  <si>
    <t>ADM-004</t>
  </si>
  <si>
    <t>Quản trị viên khóa tài khoản người dùng</t>
  </si>
  <si>
    <t>Đăng nhập bằng ADMIN, tồn tại tài khoản đang hoạt động</t>
  </si>
  <si>
    <t>Tài khoản customer1; is_active = 0</t>
  </si>
  <si>
    <t>1. Gửi PUT /api/users/:id/status
2. Dùng token cũ của customer1 gọi GET /api/users/me</t>
  </si>
  <si>
    <t>Người bị khóa nhận mã 403 ngay ở lần gọi kế tiếp dù token còn hạn (ngoại lệ 3a)</t>
  </si>
  <si>
    <t>Trước khi khóa mã 200; sau khi khóa mã 403</t>
  </si>
  <si>
    <t>Quản trị viên đặt lại mật khẩu cho người dùng</t>
  </si>
  <si>
    <t>Tài khoản customer2; đặt lại hai lần liên tiếp (kịch bản ADM-005 và ADM-005b), mỗi lần gửi kèm một giá trị newPassword khác nhau</t>
  </si>
  <si>
    <t>1. Gửi POST /api/users/:id/reset-password
2. Kiểm tra cột password và nội dung phản hồi
3. Lặp lại lần hai và so sánh</t>
  </si>
  <si>
    <t>Mỗi lần đặt lại, hệ thống sinh một mật khẩu tạm thời riêng, băm bằng bcrypt và không trả mật khẩu dạng rõ trong phản hồi (ngoại lệ 3b; mục 1.3.3)</t>
  </si>
  <si>
    <t>Cột password là chuỗi băm bcrypt, nhưng cả hai lần đều là cùng một hằng số: bcrypt.compare với tiger@123 trả về true. Nội dung phản hồi chứa nguyên văn tiger@123; giá trị gửi lên bị bỏ qua</t>
  </si>
  <si>
    <t>Khiếm khuyết DEF-06, trùng VUL-02, mức Nghiêm trọng (Bảng 3.36)</t>
  </si>
  <si>
    <t>ADM-006</t>
  </si>
  <si>
    <t>Xóa mềm và khôi phục tài khoản</t>
  </si>
  <si>
    <t>Đăng nhập bằng ADMIN</t>
  </si>
  <si>
    <t>Tài khoản customer2</t>
  </si>
  <si>
    <t>1. Gửi DELETE /api/users/:id
2. Truy vấn deleted_at
3. Gửi PATCH /api/users/:id/restore</t>
  </si>
  <si>
    <t>Sau khi xóa: deleted_at được gán, tài khoản không còn trong danh sách; sau khi khôi phục: deleted_at trở về NULL (ngoại lệ 3c)</t>
  </si>
  <si>
    <t>Cả hai thao tác thành công; deleted_at có giá trị rồi trở về NULL. Danh sách người dùng chưa được đối chiếu</t>
  </si>
  <si>
    <t>ADM-007</t>
  </si>
  <si>
    <t>Khách hàng cố gọi điểm cuối quản trị người dùng</t>
  </si>
  <si>
    <t>Đăng nhập bằng CUSTOMER</t>
  </si>
  <si>
    <t>1. Gửi GET /api/users
2. Gửi PUT /api/users/:id/role với role_id = 1</t>
  </si>
  <si>
    <t>Cả hai yêu cầu bị từ chối với mã 403 (ngoại lệ 3f); phân quyền được kiểm tra ở máy chủ</t>
  </si>
  <si>
    <t>Cả hai nhận mã 403; role_id của tài khoản đích vẫn là 3, không bị leo thang đặc quyền</t>
  </si>
  <si>
    <t>ADM-008</t>
  </si>
  <si>
    <t>UC24</t>
  </si>
  <si>
    <t>Xem thống kê sản phẩm bán chạy (UC24)</t>
  </si>
  <si>
    <t>Có đơn completed trong dữ liệu mẫu</t>
  </si>
  <si>
    <t>token của admin</t>
  </si>
  <si>
    <t>1. Gửi GET /api/orders/admin/best-selling
2. Đối chiếu với truy vấn SQL chỉ lấy đơn completed</t>
  </si>
  <si>
    <t>Số liệu khớp với dữ liệu tổng hợp trực tiếp từ các bảng orders, order_items, products; chỉ tính đơn completed (bước 2)</t>
  </si>
  <si>
    <t>Mã 200; danh sách mã sản phẩm và thứ tự trùng khớp kết quả truy vấn SQL. Kịch bản ADM-008b xác nhận nhân viên bị chặn với mã 403 ở điểm cuối thống kê doanh thu (ngoại lệ 1a)</t>
  </si>
  <si>
    <t>ADM-009</t>
  </si>
  <si>
    <t>UC25</t>
  </si>
  <si>
    <t>Quản trị viên xem nhật ký thao tác (UC25)</t>
  </si>
  <si>
    <t>Đã có thao tác quản trị trước đó</t>
  </si>
  <si>
    <t>1. Gửi GET /api/users/logs</t>
  </si>
  <si>
    <t>Hiển thị hành động, người thực hiện, đối tượng tác động và thời điểm, theo thời gian giảm dần (bước 2, 3)</t>
  </si>
  <si>
    <t>Mã 200. Nội dung từng bản ghi nhật ký chưa được đối chiếu</t>
  </si>
  <si>
    <t>ADM-010</t>
  </si>
  <si>
    <t>Người dùng không phải Quản trị viên xem nhật ký (UC25)</t>
  </si>
  <si>
    <t>Đăng nhập bằng CUSTOMER hoặc STAFF</t>
  </si>
  <si>
    <t>token của customer1 và của staff</t>
  </si>
  <si>
    <t>1. Gửi GET /api/users/logs bằng từng token</t>
  </si>
  <si>
    <t>Mã 403; không lộ bản ghi nhật ký nào (ngoại lệ 1a)</t>
  </si>
  <si>
    <t>Cả hai nhận mã 403; phản hồi không chứa mảng nhật ký</t>
  </si>
  <si>
    <t>MA TRẬN TRUY VẾT GIỮA USE CASE VÀ TEST CASE (Bảng 3.32)</t>
  </si>
  <si>
    <t>Mã UC</t>
  </si>
  <si>
    <t>Số test case</t>
  </si>
  <si>
    <t>Danh sách mã test case</t>
  </si>
  <si>
    <t>AUTH-001, AUTH-002, AUTH-003, AUTH-004, AUTH-005, AUTH-006, AUTH-007, AUTH-008, AUTH-009, AUTH-010, AUTH-011</t>
  </si>
  <si>
    <t>AUTH-006 không đạt (DEF-12)</t>
  </si>
  <si>
    <t>AUTH-012, AUTH-013, AUTH-014, AUTH-015, AUTH-016, AUTH-017, AUTH-018, AUTH-019</t>
  </si>
  <si>
    <t>AUTH-020, AUTH-021, AUTH-022</t>
  </si>
  <si>
    <t>AUTH-023, AUTH-024, AUTH-025</t>
  </si>
  <si>
    <t>PROD-001, PROD-002, PROD-003, PROD-004, PROD-005, PROD-006, PROD-007</t>
  </si>
  <si>
    <t>ORD-001, ORD-002, ORD-003, ORD-004, ORD-005</t>
  </si>
  <si>
    <t>Chưa thực hiện test case nào; UC06 không có API theo đặc tả</t>
  </si>
  <si>
    <t>ORD-006, ORD-007, ORD-008, ORD-009, ORD-010, ORD-011, ORD-012, ORD-013, ORD-014, ORD-015, VOUC-011, VOUC-012</t>
  </si>
  <si>
    <t>ORD-016, ORD-017, ORD-018, ORD-019, ORD-020</t>
  </si>
  <si>
    <t>REV-001, REV-002, REV-003, REV-004, REV-005, REV-006, REV-007, REV-008</t>
  </si>
  <si>
    <t>VOUC-001, VOUC-002, VOUC-003, VOUC-004, VOUC-005, VOUC-006, VOUC-007, VOUC-008, VOUC-009, VOUC-010</t>
  </si>
  <si>
    <t>ORD-021, ORD-022</t>
  </si>
  <si>
    <t>ORD-022 không đạt (DEF-11)</t>
  </si>
  <si>
    <t>PROD-008, PROD-009, PROD-010, PROD-011, PROD-012, PROD-013, PROD-014, PROD-015, PROD-016</t>
  </si>
  <si>
    <t>PROD-008 không đạt (DEF-02)</t>
  </si>
  <si>
    <t>PROD-017, PROD-018, PROD-019, PROD-020</t>
  </si>
  <si>
    <t>PROD-021, PROD-022</t>
  </si>
  <si>
    <t>HR-001, HR-002, HR-003, HR-004, HR-005, HR-006, HR-007</t>
  </si>
  <si>
    <t>HR-008, HR-009, HR-010</t>
  </si>
  <si>
    <t>HR-011, HR-012</t>
  </si>
  <si>
    <t>ADM-001, ADM-002</t>
  </si>
  <si>
    <t>HR-013, HR-014, HR-015</t>
  </si>
  <si>
    <t>AI-001, AI-002, AI-003, AI-004, AI-005, AI-006, AI-007, AI-008, AI-009, AI-010</t>
  </si>
  <si>
    <t>AI-008 không đạt (PERF-03)</t>
  </si>
  <si>
    <t>CHAT-001, CHAT-002, CHAT-003, CHAT-004, CHAT-005, CHAT-006, CHAT-007, CHAT-008, CHAT-009</t>
  </si>
  <si>
    <t>CHAT-009 không đạt (DEF-08)</t>
  </si>
  <si>
    <t>CHAT-010, CHAT-011</t>
  </si>
  <si>
    <t>ADM-003, ADM-004, ADM-005, ADM-006, ADM-007</t>
  </si>
  <si>
    <t>ADM-005 không đạt (DEF-06)</t>
  </si>
  <si>
    <t>ADM-009, ADM-010</t>
  </si>
  <si>
    <t>Tổng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</si>
</sst>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b/>
      <sz val="14"/>
      <color rgb="FF1F3864"/>
      <name val="Times New Roman"/>
      <charset val="1"/>
    </font>
    <font>
      <i/>
      <sz val="11"/>
      <name val="Times New Roman"/>
      <charset val="1"/>
    </font>
    <font>
      <b/>
      <sz val="12"/>
      <color rgb="FF1F3864"/>
      <name val="Times New Roman"/>
      <charset val="1"/>
    </font>
    <font>
      <b/>
      <sz val="11"/>
      <color rgb="FFFFFFFF"/>
      <name val="Times New Roman"/>
      <charset val="1"/>
    </font>
    <font>
      <sz val="11"/>
      <name val="Times New Roman"/>
      <charset val="1"/>
    </font>
    <font>
      <b/>
      <sz val="11"/>
      <name val="Times New Roman"/>
      <charset val="1"/>
    </font>
    <font>
      <sz val="11"/>
      <color rgb="FF006100"/>
      <name val="Times New Roman"/>
      <charset val="1"/>
    </font>
    <font>
      <b/>
      <sz val="11"/>
      <color rgb="FF9C0006"/>
      <name val="Times New Roman"/>
      <charset val="1"/>
    </font>
    <font>
      <b/>
      <sz val="11"/>
      <color rgb="FF9C0006"/>
      <name val="Times New Roman"/>
      <family val="1"/>
    </font>
  </fonts>
  <fills count="10">
    <fill>
      <patternFill patternType="none"/>
    </fill>
    <fill>
      <patternFill patternType="gray125"/>
    </fill>
    <fill>
      <patternFill patternType="solid">
        <fgColor rgb="FF1F3864"/>
        <bgColor rgb="FF333333"/>
      </patternFill>
    </fill>
    <fill>
      <patternFill patternType="solid">
        <fgColor rgb="FFD9E2F3"/>
        <bgColor rgb="FFE2EFDA"/>
      </patternFill>
    </fill>
    <fill>
      <patternFill patternType="solid">
        <fgColor rgb="FFE2EFDA"/>
        <bgColor rgb="FFD9E2F3"/>
      </patternFill>
    </fill>
    <fill>
      <patternFill patternType="solid">
        <fgColor rgb="FFFCE4D6"/>
        <bgColor rgb="FFFADBD8"/>
      </patternFill>
    </fill>
    <fill>
      <patternFill patternType="solid">
        <fgColor rgb="FFFFF2CC"/>
        <bgColor rgb="FFFCE4D6"/>
      </patternFill>
    </fill>
    <fill>
      <patternFill patternType="solid">
        <fgColor rgb="FFFADBD8"/>
        <bgColor rgb="FFFCE4D6"/>
      </patternFill>
    </fill>
    <fill>
      <patternFill patternType="solid">
        <fgColor rgb="FFC6EFCE"/>
        <bgColor rgb="FFE2EFDA"/>
      </patternFill>
    </fill>
    <fill>
      <patternFill patternType="solid">
        <fgColor rgb="FFFFC7CE"/>
        <bgColor rgb="FFFADBD8"/>
      </patternFill>
    </fill>
  </fills>
  <borders count="2">
    <border>
      <left/>
      <right/>
      <top/>
      <bottom/>
      <diagonal/>
    </border>
    <border>
      <left style="thin">
        <color rgb="FFB4C6E7"/>
      </left>
      <right style="thin">
        <color rgb="FFB4C6E7"/>
      </right>
      <top style="thin">
        <color rgb="FFB4C6E7"/>
      </top>
      <bottom style="thin">
        <color rgb="FFB4C6E7"/>
      </bottom>
      <diagonal/>
    </border>
  </borders>
  <cellStyleXfs count="1">
    <xf numFmtId="0" fontId="0" fillId="0" borderId="0"/>
  </cellStyleXfs>
  <cellXfs count="31">
    <xf numFmtId="0" fontId="0" fillId="0" borderId="0" xfId="0"/>
    <xf numFmtId="0" fontId="5" fillId="0" borderId="1" xfId="0" applyFont="1" applyBorder="1" applyAlignment="1">
      <alignment horizontal="center" vertical="center" wrapText="1"/>
    </xf>
    <xf numFmtId="0" fontId="6" fillId="3" borderId="1" xfId="0" applyFont="1" applyFill="1" applyBorder="1" applyAlignment="1">
      <alignment horizontal="left" vertical="center" wrapText="1"/>
    </xf>
    <xf numFmtId="0" fontId="5" fillId="7"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5" fillId="4" borderId="1" xfId="0" applyFont="1" applyFill="1" applyBorder="1" applyAlignment="1">
      <alignment horizontal="left" vertical="center" wrapText="1"/>
    </xf>
    <xf numFmtId="0" fontId="5" fillId="0" borderId="1" xfId="0" applyFont="1" applyBorder="1" applyAlignment="1">
      <alignment horizontal="left" vertical="center" wrapText="1"/>
    </xf>
    <xf numFmtId="0" fontId="4" fillId="2" borderId="1" xfId="0" applyFont="1" applyFill="1" applyBorder="1" applyAlignment="1">
      <alignment horizontal="center" vertical="center" wrapText="1"/>
    </xf>
    <xf numFmtId="0" fontId="3" fillId="0" borderId="0" xfId="0" applyFont="1"/>
    <xf numFmtId="0" fontId="2" fillId="0" borderId="0" xfId="0" applyFont="1" applyAlignment="1">
      <alignment vertical="top" wrapText="1"/>
    </xf>
    <xf numFmtId="0" fontId="2" fillId="0" borderId="0" xfId="0" applyFont="1"/>
    <xf numFmtId="0" fontId="1" fillId="0" borderId="0" xfId="0" applyFont="1"/>
    <xf numFmtId="0" fontId="2" fillId="0" borderId="0" xfId="0" applyFont="1"/>
    <xf numFmtId="0" fontId="4" fillId="2"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vertical="top" wrapText="1"/>
    </xf>
    <xf numFmtId="164" fontId="5" fillId="0" borderId="1" xfId="0" applyNumberFormat="1" applyFont="1" applyBorder="1" applyAlignment="1">
      <alignment horizontal="center" vertical="center" wrapText="1"/>
    </xf>
    <xf numFmtId="0" fontId="6" fillId="3" borderId="1" xfId="0" applyFont="1" applyFill="1" applyBorder="1" applyAlignment="1">
      <alignment horizontal="center" vertical="center" wrapText="1"/>
    </xf>
    <xf numFmtId="164" fontId="6" fillId="3" borderId="1" xfId="0" applyNumberFormat="1" applyFont="1" applyFill="1" applyBorder="1" applyAlignment="1">
      <alignment horizontal="center" vertical="center" wrapText="1"/>
    </xf>
    <xf numFmtId="0" fontId="2" fillId="0" borderId="0" xfId="0" applyFont="1" applyAlignment="1">
      <alignment horizontal="center" vertical="center" wrapText="1"/>
    </xf>
    <xf numFmtId="0" fontId="5" fillId="0" borderId="1" xfId="0" applyFont="1" applyBorder="1" applyAlignment="1">
      <alignment horizontal="left" vertical="center" wrapText="1"/>
    </xf>
    <xf numFmtId="9" fontId="5" fillId="0" borderId="1" xfId="0" applyNumberFormat="1" applyFont="1" applyBorder="1" applyAlignment="1">
      <alignment horizontal="center" vertical="center" wrapText="1"/>
    </xf>
    <xf numFmtId="0" fontId="5" fillId="4"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9" fillId="9"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4C6E7"/>
      <rgbColor rgb="FF808080"/>
      <rgbColor rgb="FF9999FF"/>
      <rgbColor rgb="FF993366"/>
      <rgbColor rgb="FFFFF2CC"/>
      <rgbColor rgb="FFE2EFD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FADBD8"/>
      <rgbColor rgb="FFC6EFCE"/>
      <rgbColor rgb="FFFCE4D6"/>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zoomScale="224" zoomScaleNormal="224" workbookViewId="0">
      <selection activeCell="I16" sqref="I16"/>
    </sheetView>
  </sheetViews>
  <sheetFormatPr baseColWidth="10" defaultColWidth="8.6640625" defaultRowHeight="15" x14ac:dyDescent="0.2"/>
  <cols>
    <col min="1" max="1" width="6" customWidth="1"/>
    <col min="2" max="2" width="11" customWidth="1"/>
    <col min="3" max="3" width="30" customWidth="1"/>
    <col min="4" max="4" width="10" customWidth="1"/>
    <col min="5" max="5" width="12" customWidth="1"/>
    <col min="6" max="7" width="9" customWidth="1"/>
    <col min="8" max="8" width="10" customWidth="1"/>
    <col min="9" max="9" width="13" customWidth="1"/>
    <col min="10" max="10" width="16" customWidth="1"/>
  </cols>
  <sheetData>
    <row r="1" spans="1:10" ht="18" x14ac:dyDescent="0.2">
      <c r="A1" s="12" t="s">
        <v>0</v>
      </c>
      <c r="B1" s="12"/>
      <c r="C1" s="12"/>
      <c r="D1" s="12"/>
      <c r="E1" s="12"/>
      <c r="F1" s="12"/>
      <c r="G1" s="12"/>
      <c r="H1" s="12"/>
      <c r="I1" s="12"/>
      <c r="J1" s="12"/>
    </row>
    <row r="2" spans="1:10" x14ac:dyDescent="0.2">
      <c r="A2" s="11" t="s">
        <v>1</v>
      </c>
      <c r="B2" s="11"/>
      <c r="C2" s="11"/>
      <c r="D2" s="11"/>
      <c r="E2" s="11"/>
      <c r="F2" s="11"/>
      <c r="G2" s="11"/>
      <c r="H2" s="11"/>
      <c r="I2" s="11"/>
      <c r="J2" s="11"/>
    </row>
    <row r="3" spans="1:10" ht="45" customHeight="1" x14ac:dyDescent="0.2">
      <c r="A3" s="10" t="s">
        <v>2</v>
      </c>
      <c r="B3" s="10"/>
      <c r="C3" s="10"/>
      <c r="D3" s="10"/>
      <c r="E3" s="10"/>
      <c r="F3" s="10"/>
      <c r="G3" s="10"/>
      <c r="H3" s="10"/>
      <c r="I3" s="10"/>
      <c r="J3" s="10"/>
    </row>
    <row r="5" spans="1:10" ht="16" x14ac:dyDescent="0.2">
      <c r="A5" s="9" t="s">
        <v>3</v>
      </c>
      <c r="B5" s="9"/>
      <c r="C5" s="9"/>
      <c r="D5" s="9"/>
      <c r="E5" s="9"/>
      <c r="F5" s="9"/>
      <c r="G5" s="9"/>
      <c r="H5" s="9"/>
      <c r="I5" s="9"/>
      <c r="J5" s="9"/>
    </row>
    <row r="6" spans="1:10" ht="45" customHeight="1" x14ac:dyDescent="0.2">
      <c r="A6" s="14" t="s">
        <v>4</v>
      </c>
      <c r="B6" s="14" t="s">
        <v>5</v>
      </c>
      <c r="C6" s="14" t="s">
        <v>6</v>
      </c>
      <c r="D6" s="14" t="s">
        <v>7</v>
      </c>
      <c r="E6" s="14" t="s">
        <v>8</v>
      </c>
      <c r="F6" s="14" t="s">
        <v>9</v>
      </c>
      <c r="G6" s="14" t="s">
        <v>10</v>
      </c>
      <c r="H6" s="14" t="s">
        <v>11</v>
      </c>
      <c r="I6" s="14" t="s">
        <v>12</v>
      </c>
      <c r="J6" s="14" t="s">
        <v>13</v>
      </c>
    </row>
    <row r="7" spans="1:10" x14ac:dyDescent="0.2">
      <c r="A7" s="15">
        <v>1</v>
      </c>
      <c r="B7" s="15" t="s">
        <v>14</v>
      </c>
      <c r="C7" s="16" t="s">
        <v>15</v>
      </c>
      <c r="D7" s="15">
        <f>COUNTA(AUTH!A:A)-1</f>
        <v>25</v>
      </c>
      <c r="E7" s="15">
        <f t="shared" ref="E7:E15" si="0">F7+G7</f>
        <v>20</v>
      </c>
      <c r="F7" s="15">
        <f>COUNTIF(AUTH!M:M,"Pass")</f>
        <v>19</v>
      </c>
      <c r="G7" s="15">
        <f>COUNTIF(AUTH!M:M,"Fail")</f>
        <v>1</v>
      </c>
      <c r="H7" s="15">
        <f>COUNTIF(AUTH!M:M,"Blocked")</f>
        <v>0</v>
      </c>
      <c r="I7" s="15">
        <f>COUNTIF(AUTH!M:M,"Chưa thực hiện")</f>
        <v>5</v>
      </c>
      <c r="J7" s="17">
        <f t="shared" ref="J7:J16" si="1">IF(E7=0,0,F7/E7)</f>
        <v>0.95</v>
      </c>
    </row>
    <row r="8" spans="1:10" x14ac:dyDescent="0.2">
      <c r="A8" s="15">
        <v>2</v>
      </c>
      <c r="B8" s="15" t="s">
        <v>16</v>
      </c>
      <c r="C8" s="16" t="s">
        <v>17</v>
      </c>
      <c r="D8" s="15">
        <f>COUNTA(PROD!A:A)-1</f>
        <v>22</v>
      </c>
      <c r="E8" s="15">
        <f t="shared" si="0"/>
        <v>19</v>
      </c>
      <c r="F8" s="15">
        <f>COUNTIF(PROD!M:M,"Pass")</f>
        <v>18</v>
      </c>
      <c r="G8" s="15">
        <f>COUNTIF(PROD!M:M,"Fail")</f>
        <v>1</v>
      </c>
      <c r="H8" s="15">
        <f>COUNTIF(PROD!M:M,"Blocked")</f>
        <v>0</v>
      </c>
      <c r="I8" s="15">
        <f>COUNTIF(PROD!M:M,"Chưa thực hiện")</f>
        <v>3</v>
      </c>
      <c r="J8" s="17">
        <f t="shared" si="1"/>
        <v>0.94736842105263153</v>
      </c>
    </row>
    <row r="9" spans="1:10" x14ac:dyDescent="0.2">
      <c r="A9" s="15">
        <v>3</v>
      </c>
      <c r="B9" s="15" t="s">
        <v>18</v>
      </c>
      <c r="C9" s="16" t="s">
        <v>19</v>
      </c>
      <c r="D9" s="15">
        <f>COUNTA(ORD!A:A)-1</f>
        <v>22</v>
      </c>
      <c r="E9" s="15">
        <f t="shared" si="0"/>
        <v>15</v>
      </c>
      <c r="F9" s="15">
        <f>COUNTIF(ORD!M:M,"Pass")</f>
        <v>14</v>
      </c>
      <c r="G9" s="15">
        <f>COUNTIF(ORD!M:M,"Fail")</f>
        <v>1</v>
      </c>
      <c r="H9" s="15">
        <f>COUNTIF(ORD!M:M,"Blocked")</f>
        <v>0</v>
      </c>
      <c r="I9" s="15">
        <f>COUNTIF(ORD!M:M,"Chưa thực hiện")</f>
        <v>7</v>
      </c>
      <c r="J9" s="17">
        <f t="shared" si="1"/>
        <v>0.93333333333333335</v>
      </c>
    </row>
    <row r="10" spans="1:10" x14ac:dyDescent="0.2">
      <c r="A10" s="15">
        <v>4</v>
      </c>
      <c r="B10" s="15" t="s">
        <v>20</v>
      </c>
      <c r="C10" s="16" t="s">
        <v>21</v>
      </c>
      <c r="D10" s="15">
        <f>COUNTA(VOUC!A:A)-1</f>
        <v>12</v>
      </c>
      <c r="E10" s="15">
        <f t="shared" si="0"/>
        <v>12</v>
      </c>
      <c r="F10" s="15">
        <f>COUNTIF(VOUC!M:M,"Pass")</f>
        <v>12</v>
      </c>
      <c r="G10" s="15">
        <f>COUNTIF(VOUC!M:M,"Fail")</f>
        <v>0</v>
      </c>
      <c r="H10" s="15">
        <f>COUNTIF(VOUC!M:M,"Blocked")</f>
        <v>0</v>
      </c>
      <c r="I10" s="15">
        <f>COUNTIF(VOUC!M:M,"Chưa thực hiện")</f>
        <v>0</v>
      </c>
      <c r="J10" s="17">
        <f t="shared" si="1"/>
        <v>1</v>
      </c>
    </row>
    <row r="11" spans="1:10" x14ac:dyDescent="0.2">
      <c r="A11" s="15">
        <v>5</v>
      </c>
      <c r="B11" s="15" t="s">
        <v>22</v>
      </c>
      <c r="C11" s="16" t="s">
        <v>23</v>
      </c>
      <c r="D11" s="15">
        <f>COUNTA(REV!A:A)-1</f>
        <v>8</v>
      </c>
      <c r="E11" s="15">
        <f t="shared" si="0"/>
        <v>8</v>
      </c>
      <c r="F11" s="15">
        <f>COUNTIF(REV!M:M,"Pass")</f>
        <v>8</v>
      </c>
      <c r="G11" s="15">
        <f>COUNTIF(REV!M:M,"Fail")</f>
        <v>0</v>
      </c>
      <c r="H11" s="15">
        <f>COUNTIF(REV!M:M,"Blocked")</f>
        <v>0</v>
      </c>
      <c r="I11" s="15">
        <f>COUNTIF(REV!M:M,"Chưa thực hiện")</f>
        <v>0</v>
      </c>
      <c r="J11" s="17">
        <f t="shared" si="1"/>
        <v>1</v>
      </c>
    </row>
    <row r="12" spans="1:10" x14ac:dyDescent="0.2">
      <c r="A12" s="15">
        <v>6</v>
      </c>
      <c r="B12" s="15" t="s">
        <v>24</v>
      </c>
      <c r="C12" s="16" t="s">
        <v>25</v>
      </c>
      <c r="D12" s="15">
        <f>COUNTA(CHAT!A:A)-1</f>
        <v>11</v>
      </c>
      <c r="E12" s="15">
        <f t="shared" si="0"/>
        <v>6</v>
      </c>
      <c r="F12" s="15">
        <f>COUNTIF(CHAT!M:M,"Pass")</f>
        <v>5</v>
      </c>
      <c r="G12" s="15">
        <f>COUNTIF(CHAT!M:M,"Fail")</f>
        <v>1</v>
      </c>
      <c r="H12" s="15">
        <f>COUNTIF(CHAT!M:M,"Blocked")</f>
        <v>0</v>
      </c>
      <c r="I12" s="15">
        <f>COUNTIF(CHAT!M:M,"Chưa thực hiện")</f>
        <v>5</v>
      </c>
      <c r="J12" s="17">
        <f t="shared" si="1"/>
        <v>0.83333333333333337</v>
      </c>
    </row>
    <row r="13" spans="1:10" x14ac:dyDescent="0.2">
      <c r="A13" s="15">
        <v>7</v>
      </c>
      <c r="B13" s="15" t="s">
        <v>26</v>
      </c>
      <c r="C13" s="16" t="s">
        <v>27</v>
      </c>
      <c r="D13" s="15">
        <f>COUNTA(AI!A:A)-1</f>
        <v>10</v>
      </c>
      <c r="E13" s="15">
        <f t="shared" si="0"/>
        <v>9</v>
      </c>
      <c r="F13" s="15">
        <f>COUNTIF(AI!M:M,"Pass")</f>
        <v>8</v>
      </c>
      <c r="G13" s="15">
        <f>COUNTIF(AI!M:M,"Fail")</f>
        <v>1</v>
      </c>
      <c r="H13" s="15">
        <f>COUNTIF(AI!M:M,"Blocked")</f>
        <v>0</v>
      </c>
      <c r="I13" s="15">
        <f>COUNTIF(AI!M:M,"Chưa thực hiện")</f>
        <v>1</v>
      </c>
      <c r="J13" s="17">
        <f t="shared" si="1"/>
        <v>0.88888888888888884</v>
      </c>
    </row>
    <row r="14" spans="1:10" x14ac:dyDescent="0.2">
      <c r="A14" s="15">
        <v>8</v>
      </c>
      <c r="B14" s="15" t="s">
        <v>28</v>
      </c>
      <c r="C14" s="16" t="s">
        <v>29</v>
      </c>
      <c r="D14" s="15">
        <f>COUNTA(HR!A:A)-1</f>
        <v>15</v>
      </c>
      <c r="E14" s="15">
        <f t="shared" si="0"/>
        <v>14</v>
      </c>
      <c r="F14" s="15">
        <f>COUNTIF(HR!M:M,"Pass")</f>
        <v>14</v>
      </c>
      <c r="G14" s="15">
        <f>COUNTIF(HR!M:M,"Fail")</f>
        <v>0</v>
      </c>
      <c r="H14" s="15">
        <f>COUNTIF(HR!M:M,"Blocked")</f>
        <v>0</v>
      </c>
      <c r="I14" s="15">
        <f>COUNTIF(HR!M:M,"Chưa thực hiện")</f>
        <v>1</v>
      </c>
      <c r="J14" s="17">
        <f t="shared" si="1"/>
        <v>1</v>
      </c>
    </row>
    <row r="15" spans="1:10" x14ac:dyDescent="0.2">
      <c r="A15" s="15">
        <v>9</v>
      </c>
      <c r="B15" s="15" t="s">
        <v>30</v>
      </c>
      <c r="C15" s="16" t="s">
        <v>31</v>
      </c>
      <c r="D15" s="15">
        <f>COUNTA(ADM!A:A)-1</f>
        <v>10</v>
      </c>
      <c r="E15" s="15">
        <f t="shared" si="0"/>
        <v>10</v>
      </c>
      <c r="F15" s="15">
        <f>COUNTIF(ADM!M:M,"Pass")</f>
        <v>9</v>
      </c>
      <c r="G15" s="15">
        <f>COUNTIF(ADM!M:M,"Fail")</f>
        <v>1</v>
      </c>
      <c r="H15" s="15">
        <f>COUNTIF(ADM!M:M,"Blocked")</f>
        <v>0</v>
      </c>
      <c r="I15" s="15">
        <f>COUNTIF(ADM!M:M,"Chưa thực hiện")</f>
        <v>0</v>
      </c>
      <c r="J15" s="17">
        <f t="shared" si="1"/>
        <v>0.9</v>
      </c>
    </row>
    <row r="16" spans="1:10" x14ac:dyDescent="0.2">
      <c r="A16" s="18"/>
      <c r="B16" s="18"/>
      <c r="C16" s="18" t="s">
        <v>32</v>
      </c>
      <c r="D16" s="18">
        <f t="shared" ref="D16:I16" si="2">SUM(D7:D15)</f>
        <v>135</v>
      </c>
      <c r="E16" s="18">
        <f t="shared" si="2"/>
        <v>113</v>
      </c>
      <c r="F16" s="18">
        <f t="shared" si="2"/>
        <v>107</v>
      </c>
      <c r="G16" s="18">
        <f t="shared" si="2"/>
        <v>6</v>
      </c>
      <c r="H16" s="18">
        <f t="shared" si="2"/>
        <v>0</v>
      </c>
      <c r="I16" s="18">
        <f t="shared" si="2"/>
        <v>22</v>
      </c>
      <c r="J16" s="19">
        <f t="shared" si="1"/>
        <v>0.94690265486725667</v>
      </c>
    </row>
    <row r="17" spans="1:10" x14ac:dyDescent="0.2">
      <c r="C17" s="13" t="s">
        <v>33</v>
      </c>
      <c r="D17" s="20" t="str">
        <f>IF(D16=F16+G16+H16+I16,"Khớp","Lệch")</f>
        <v>Khớp</v>
      </c>
    </row>
    <row r="19" spans="1:10" ht="16" x14ac:dyDescent="0.2">
      <c r="A19" s="9" t="s">
        <v>34</v>
      </c>
      <c r="B19" s="9"/>
      <c r="C19" s="9"/>
      <c r="D19" s="9"/>
      <c r="E19" s="9"/>
      <c r="F19" s="9"/>
      <c r="G19" s="9"/>
      <c r="H19" s="9"/>
      <c r="I19" s="9"/>
      <c r="J19" s="9"/>
    </row>
    <row r="20" spans="1:10" ht="31.5" customHeight="1" x14ac:dyDescent="0.2">
      <c r="A20" s="14" t="s">
        <v>4</v>
      </c>
      <c r="B20" s="8" t="s">
        <v>35</v>
      </c>
      <c r="C20" s="8"/>
      <c r="D20" s="14" t="s">
        <v>36</v>
      </c>
      <c r="E20" s="14" t="s">
        <v>37</v>
      </c>
      <c r="F20" s="14" t="s">
        <v>38</v>
      </c>
    </row>
    <row r="21" spans="1:10" ht="15" customHeight="1" x14ac:dyDescent="0.2">
      <c r="A21" s="15">
        <v>1</v>
      </c>
      <c r="B21" s="7" t="s">
        <v>39</v>
      </c>
      <c r="C21" s="7"/>
      <c r="D21" s="17">
        <f>IF(D16=0,0,E16/D16)</f>
        <v>0.83703703703703702</v>
      </c>
      <c r="E21" s="22">
        <v>1</v>
      </c>
      <c r="F21" s="15" t="str">
        <f>IF(ROUND(D21,4)&gt;=E21,"Đạt","Chưa đạt")</f>
        <v>Chưa đạt</v>
      </c>
    </row>
    <row r="22" spans="1:10" ht="15" customHeight="1" x14ac:dyDescent="0.2">
      <c r="A22" s="15">
        <v>2</v>
      </c>
      <c r="B22" s="7" t="s">
        <v>40</v>
      </c>
      <c r="C22" s="7"/>
      <c r="D22" s="17">
        <f>J16</f>
        <v>0.94690265486725667</v>
      </c>
      <c r="E22" s="22">
        <v>0.95</v>
      </c>
      <c r="F22" s="15" t="str">
        <f>IF(ROUND(D22,4)&gt;=E22,"Đạt","Chưa đạt")</f>
        <v>Chưa đạt</v>
      </c>
    </row>
    <row r="23" spans="1:10" ht="15" customHeight="1" x14ac:dyDescent="0.2">
      <c r="A23" s="15">
        <v>3</v>
      </c>
      <c r="B23" s="7" t="s">
        <v>41</v>
      </c>
      <c r="C23" s="7"/>
      <c r="D23" s="17">
        <f>COUNTIF('Truy vết UC và TC'!B4:B28,"&gt;0")/COUNTA('Truy vết UC và TC'!A4:A28)</f>
        <v>1</v>
      </c>
      <c r="E23" s="22">
        <v>1</v>
      </c>
      <c r="F23" s="15" t="str">
        <f>IF(ROUND(D23,4)&gt;=E23,"Đạt","Chưa đạt")</f>
        <v>Đạt</v>
      </c>
    </row>
    <row r="24" spans="1:10" x14ac:dyDescent="0.2">
      <c r="B24" s="13" t="s">
        <v>42</v>
      </c>
    </row>
    <row r="26" spans="1:10" ht="16" x14ac:dyDescent="0.2">
      <c r="A26" s="9" t="s">
        <v>43</v>
      </c>
      <c r="B26" s="9"/>
      <c r="C26" s="9"/>
      <c r="D26" s="9"/>
      <c r="E26" s="9"/>
      <c r="F26" s="9"/>
      <c r="G26" s="9"/>
      <c r="H26" s="9"/>
      <c r="I26" s="9"/>
      <c r="J26" s="9"/>
    </row>
    <row r="27" spans="1:10" ht="45" customHeight="1" x14ac:dyDescent="0.2">
      <c r="A27" s="14" t="s">
        <v>4</v>
      </c>
      <c r="B27" s="8" t="s">
        <v>44</v>
      </c>
      <c r="C27" s="8"/>
      <c r="D27" s="14" t="s">
        <v>7</v>
      </c>
      <c r="E27" s="14" t="s">
        <v>45</v>
      </c>
      <c r="F27" s="14" t="s">
        <v>9</v>
      </c>
      <c r="G27" s="14" t="s">
        <v>10</v>
      </c>
      <c r="H27" s="14" t="s">
        <v>8</v>
      </c>
      <c r="I27" s="14" t="s">
        <v>12</v>
      </c>
      <c r="J27" s="14" t="s">
        <v>13</v>
      </c>
    </row>
    <row r="28" spans="1:10" ht="15" customHeight="1" x14ac:dyDescent="0.2">
      <c r="A28" s="15">
        <v>1</v>
      </c>
      <c r="B28" s="6" t="s">
        <v>46</v>
      </c>
      <c r="C28" s="6"/>
      <c r="D28" s="15">
        <f>COUNTIF('Toàn bộ Test Case'!I:I,"Positive")</f>
        <v>70</v>
      </c>
      <c r="E28" s="17">
        <f t="shared" ref="E28:E33" si="3">IF($D$16=0,0,D28/$D$16)</f>
        <v>0.51851851851851849</v>
      </c>
      <c r="F28" s="15">
        <f>COUNTIFS('Toàn bộ Test Case'!I:I,"Positive",'Toàn bộ Test Case'!M:M,"Pass")</f>
        <v>55</v>
      </c>
      <c r="G28" s="15">
        <f>COUNTIFS('Toàn bộ Test Case'!I:I,"Positive",'Toàn bộ Test Case'!M:M,"Fail")</f>
        <v>3</v>
      </c>
      <c r="H28" s="15">
        <f t="shared" ref="H28:H33" si="4">F28+G28</f>
        <v>58</v>
      </c>
      <c r="I28" s="15">
        <f>COUNTIFS('Toàn bộ Test Case'!I:I,"Positive",'Toàn bộ Test Case'!M:M,"Chưa thực hiện")</f>
        <v>12</v>
      </c>
      <c r="J28" s="17">
        <f t="shared" ref="J28:J33" si="5">IF(H28=0,0,F28/H28)</f>
        <v>0.94827586206896552</v>
      </c>
    </row>
    <row r="29" spans="1:10" ht="15" customHeight="1" x14ac:dyDescent="0.2">
      <c r="A29" s="15">
        <v>2</v>
      </c>
      <c r="B29" s="5" t="s">
        <v>47</v>
      </c>
      <c r="C29" s="5"/>
      <c r="D29" s="15">
        <f>COUNTIF('Toàn bộ Test Case'!I:I,"Negative")</f>
        <v>34</v>
      </c>
      <c r="E29" s="17">
        <f t="shared" si="3"/>
        <v>0.25185185185185183</v>
      </c>
      <c r="F29" s="15">
        <f>COUNTIFS('Toàn bộ Test Case'!I:I,"Negative",'Toàn bộ Test Case'!M:M,"Pass")</f>
        <v>26</v>
      </c>
      <c r="G29" s="15">
        <f>COUNTIFS('Toàn bộ Test Case'!I:I,"Negative",'Toàn bộ Test Case'!M:M,"Fail")</f>
        <v>1</v>
      </c>
      <c r="H29" s="15">
        <f t="shared" si="4"/>
        <v>27</v>
      </c>
      <c r="I29" s="15">
        <f>COUNTIFS('Toàn bộ Test Case'!I:I,"Negative",'Toàn bộ Test Case'!M:M,"Chưa thực hiện")</f>
        <v>7</v>
      </c>
      <c r="J29" s="17">
        <f t="shared" si="5"/>
        <v>0.96296296296296291</v>
      </c>
    </row>
    <row r="30" spans="1:10" ht="15" customHeight="1" x14ac:dyDescent="0.2">
      <c r="A30" s="15">
        <v>3</v>
      </c>
      <c r="B30" s="4" t="s">
        <v>48</v>
      </c>
      <c r="C30" s="4"/>
      <c r="D30" s="15">
        <f>COUNTIF('Toàn bộ Test Case'!I:I,"Boundary")</f>
        <v>9</v>
      </c>
      <c r="E30" s="17">
        <f t="shared" si="3"/>
        <v>6.6666666666666666E-2</v>
      </c>
      <c r="F30" s="15">
        <f>COUNTIFS('Toàn bộ Test Case'!I:I,"Boundary",'Toàn bộ Test Case'!M:M,"Pass")</f>
        <v>7</v>
      </c>
      <c r="G30" s="15">
        <f>COUNTIFS('Toàn bộ Test Case'!I:I,"Boundary",'Toàn bộ Test Case'!M:M,"Fail")</f>
        <v>0</v>
      </c>
      <c r="H30" s="15">
        <f t="shared" si="4"/>
        <v>7</v>
      </c>
      <c r="I30" s="15">
        <f>COUNTIFS('Toàn bộ Test Case'!I:I,"Boundary",'Toàn bộ Test Case'!M:M,"Chưa thực hiện")</f>
        <v>2</v>
      </c>
      <c r="J30" s="17">
        <f t="shared" si="5"/>
        <v>1</v>
      </c>
    </row>
    <row r="31" spans="1:10" ht="15" customHeight="1" x14ac:dyDescent="0.2">
      <c r="A31" s="15">
        <v>4</v>
      </c>
      <c r="B31" s="3" t="s">
        <v>49</v>
      </c>
      <c r="C31" s="3"/>
      <c r="D31" s="15">
        <f>COUNTIF('Toàn bộ Test Case'!I:I,"Security")</f>
        <v>22</v>
      </c>
      <c r="E31" s="17">
        <f t="shared" si="3"/>
        <v>0.16296296296296298</v>
      </c>
      <c r="F31" s="15">
        <f>COUNTIFS('Toàn bộ Test Case'!I:I,"Security",'Toàn bộ Test Case'!M:M,"Pass")</f>
        <v>19</v>
      </c>
      <c r="G31" s="15">
        <f>COUNTIFS('Toàn bộ Test Case'!I:I,"Security",'Toàn bộ Test Case'!M:M,"Fail")</f>
        <v>2</v>
      </c>
      <c r="H31" s="15">
        <f t="shared" si="4"/>
        <v>21</v>
      </c>
      <c r="I31" s="15">
        <f>COUNTIFS('Toàn bộ Test Case'!I:I,"Security",'Toàn bộ Test Case'!M:M,"Chưa thực hiện")</f>
        <v>1</v>
      </c>
      <c r="J31" s="17">
        <f t="shared" si="5"/>
        <v>0.90476190476190477</v>
      </c>
    </row>
    <row r="32" spans="1:10" ht="15" customHeight="1" x14ac:dyDescent="0.2">
      <c r="A32" s="15">
        <v>5</v>
      </c>
      <c r="B32" s="7" t="s">
        <v>50</v>
      </c>
      <c r="C32" s="7"/>
      <c r="D32" s="15">
        <f>COUNTIF('Toàn bộ Test Case'!J:J,"Cao")</f>
        <v>110</v>
      </c>
      <c r="E32" s="17">
        <f t="shared" si="3"/>
        <v>0.81481481481481477</v>
      </c>
      <c r="F32" s="15">
        <f>COUNTIFS('Toàn bộ Test Case'!J:J,"Cao",'Toàn bộ Test Case'!M:M,"Pass")</f>
        <v>92</v>
      </c>
      <c r="G32" s="15">
        <f>COUNTIFS('Toàn bộ Test Case'!J:J,"Cao",'Toàn bộ Test Case'!M:M,"Fail")</f>
        <v>6</v>
      </c>
      <c r="H32" s="15">
        <f t="shared" si="4"/>
        <v>98</v>
      </c>
      <c r="I32" s="15">
        <f>COUNTIFS('Toàn bộ Test Case'!J:J,"Cao",'Toàn bộ Test Case'!M:M,"Chưa thực hiện")</f>
        <v>12</v>
      </c>
      <c r="J32" s="17">
        <f t="shared" si="5"/>
        <v>0.93877551020408168</v>
      </c>
    </row>
    <row r="33" spans="1:10" ht="15" customHeight="1" x14ac:dyDescent="0.2">
      <c r="A33" s="15">
        <v>6</v>
      </c>
      <c r="B33" s="7" t="s">
        <v>51</v>
      </c>
      <c r="C33" s="7"/>
      <c r="D33" s="15">
        <f>COUNTIF('Toàn bộ Test Case'!J:J,"Trung bình")</f>
        <v>25</v>
      </c>
      <c r="E33" s="17">
        <f t="shared" si="3"/>
        <v>0.18518518518518517</v>
      </c>
      <c r="F33" s="15">
        <f>COUNTIFS('Toàn bộ Test Case'!J:J,"Trung bình",'Toàn bộ Test Case'!M:M,"Pass")</f>
        <v>15</v>
      </c>
      <c r="G33" s="15">
        <f>COUNTIFS('Toàn bộ Test Case'!J:J,"Trung bình",'Toàn bộ Test Case'!M:M,"Fail")</f>
        <v>0</v>
      </c>
      <c r="H33" s="15">
        <f t="shared" si="4"/>
        <v>15</v>
      </c>
      <c r="I33" s="15">
        <f>COUNTIFS('Toàn bộ Test Case'!J:J,"Trung bình",'Toàn bộ Test Case'!M:M,"Chưa thực hiện")</f>
        <v>10</v>
      </c>
      <c r="J33" s="17">
        <f t="shared" si="5"/>
        <v>1</v>
      </c>
    </row>
    <row r="35" spans="1:10" ht="16" x14ac:dyDescent="0.2">
      <c r="A35" s="9" t="s">
        <v>52</v>
      </c>
      <c r="B35" s="9"/>
      <c r="C35" s="9"/>
      <c r="D35" s="9"/>
      <c r="E35" s="9"/>
      <c r="F35" s="9"/>
      <c r="G35" s="9"/>
      <c r="H35" s="9"/>
      <c r="I35" s="9"/>
      <c r="J35" s="9"/>
    </row>
    <row r="36" spans="1:10" ht="45" customHeight="1" x14ac:dyDescent="0.2">
      <c r="A36" s="14" t="s">
        <v>4</v>
      </c>
      <c r="B36" s="8" t="s">
        <v>53</v>
      </c>
      <c r="C36" s="8"/>
      <c r="D36" s="14" t="s">
        <v>7</v>
      </c>
      <c r="E36" s="14" t="s">
        <v>45</v>
      </c>
      <c r="F36" s="14" t="s">
        <v>54</v>
      </c>
      <c r="G36" s="14" t="s">
        <v>55</v>
      </c>
      <c r="H36" s="14" t="s">
        <v>12</v>
      </c>
    </row>
    <row r="37" spans="1:10" ht="15" customHeight="1" x14ac:dyDescent="0.2">
      <c r="A37" s="15">
        <v>1</v>
      </c>
      <c r="B37" s="7" t="s">
        <v>56</v>
      </c>
      <c r="C37" s="7"/>
      <c r="D37" s="15">
        <f>COUNTIF('Toàn bộ Test Case'!K:K,"Tự động")</f>
        <v>119</v>
      </c>
      <c r="E37" s="17">
        <f>IF($D$16=0,0,D37/$D$16)</f>
        <v>0.88148148148148153</v>
      </c>
      <c r="F37" s="15">
        <f>COUNTIFS('Toàn bộ Test Case'!K:K,"Tự động",'Toàn bộ Test Case'!N:N,"Jest + Supertest")</f>
        <v>105</v>
      </c>
      <c r="G37" s="15">
        <f>COUNTIFS('Toàn bộ Test Case'!K:K,"Tự động",'Toàn bộ Test Case'!N:N,"Đo trực tiếp với Gemini thật")</f>
        <v>0</v>
      </c>
      <c r="H37" s="15">
        <f>COUNTIFS('Toàn bộ Test Case'!K:K,"Tự động",'Toàn bộ Test Case'!M:M,"Chưa thực hiện")</f>
        <v>14</v>
      </c>
    </row>
    <row r="38" spans="1:10" ht="15" customHeight="1" x14ac:dyDescent="0.2">
      <c r="A38" s="15">
        <v>2</v>
      </c>
      <c r="B38" s="7" t="s">
        <v>57</v>
      </c>
      <c r="C38" s="7"/>
      <c r="D38" s="15">
        <f>COUNTIF('Toàn bộ Test Case'!K:K,"Thủ công")</f>
        <v>16</v>
      </c>
      <c r="E38" s="17">
        <f>IF($D$16=0,0,D38/$D$16)</f>
        <v>0.11851851851851852</v>
      </c>
      <c r="F38" s="15">
        <f>COUNTIFS('Toàn bộ Test Case'!K:K,"Thủ công",'Toàn bộ Test Case'!N:N,"Jest + Supertest")</f>
        <v>7</v>
      </c>
      <c r="G38" s="15">
        <f>COUNTIFS('Toàn bộ Test Case'!K:K,"Thủ công",'Toàn bộ Test Case'!N:N,"Đo trực tiếp với Gemini thật")</f>
        <v>1</v>
      </c>
      <c r="H38" s="15">
        <f>COUNTIFS('Toàn bộ Test Case'!K:K,"Thủ công",'Toàn bộ Test Case'!M:M,"Chưa thực hiện")</f>
        <v>8</v>
      </c>
    </row>
    <row r="39" spans="1:10" ht="15" customHeight="1" x14ac:dyDescent="0.2">
      <c r="A39" s="18"/>
      <c r="B39" s="2" t="s">
        <v>32</v>
      </c>
      <c r="C39" s="2"/>
      <c r="D39" s="18">
        <f>SUM(D37:D38)</f>
        <v>135</v>
      </c>
      <c r="E39" s="19">
        <f>IF($D$16=0,0,D39/$D$16)</f>
        <v>1</v>
      </c>
      <c r="F39" s="18">
        <f>SUM(F37:F38)</f>
        <v>112</v>
      </c>
      <c r="G39" s="18">
        <f>SUM(G37:G38)</f>
        <v>1</v>
      </c>
      <c r="H39" s="18">
        <f>SUM(H37:H38)</f>
        <v>22</v>
      </c>
    </row>
    <row r="40" spans="1:10" ht="30" customHeight="1" x14ac:dyDescent="0.2">
      <c r="B40" s="10" t="s">
        <v>58</v>
      </c>
      <c r="C40" s="10"/>
      <c r="D40" s="10"/>
      <c r="E40" s="10"/>
      <c r="F40" s="10"/>
      <c r="G40" s="10"/>
      <c r="H40" s="10"/>
      <c r="I40" s="10"/>
      <c r="J40" s="10"/>
    </row>
    <row r="42" spans="1:10" ht="16" x14ac:dyDescent="0.2">
      <c r="A42" s="9" t="s">
        <v>59</v>
      </c>
      <c r="B42" s="9"/>
      <c r="C42" s="9"/>
      <c r="D42" s="9"/>
      <c r="E42" s="9"/>
      <c r="F42" s="9"/>
      <c r="G42" s="9"/>
      <c r="H42" s="9"/>
      <c r="I42" s="9"/>
      <c r="J42" s="9"/>
    </row>
    <row r="43" spans="1:10" ht="31.5" customHeight="1" x14ac:dyDescent="0.2">
      <c r="A43" s="14" t="s">
        <v>4</v>
      </c>
      <c r="B43" s="14" t="s">
        <v>60</v>
      </c>
      <c r="C43" s="14" t="s">
        <v>61</v>
      </c>
      <c r="D43" s="8" t="s">
        <v>62</v>
      </c>
      <c r="E43" s="8"/>
      <c r="F43" s="8" t="s">
        <v>63</v>
      </c>
      <c r="G43" s="8"/>
      <c r="H43" s="8" t="s">
        <v>64</v>
      </c>
      <c r="I43" s="8"/>
      <c r="J43" s="8"/>
    </row>
    <row r="44" spans="1:10" ht="25.25" customHeight="1" x14ac:dyDescent="0.2">
      <c r="A44" s="15">
        <v>1</v>
      </c>
      <c r="B44" s="15" t="s">
        <v>65</v>
      </c>
      <c r="C44" s="21" t="s">
        <v>66</v>
      </c>
      <c r="D44" s="1" t="s">
        <v>67</v>
      </c>
      <c r="E44" s="1"/>
      <c r="F44" s="1" t="s">
        <v>68</v>
      </c>
      <c r="G44" s="1"/>
      <c r="H44" s="7" t="s">
        <v>69</v>
      </c>
      <c r="I44" s="7"/>
      <c r="J44" s="7"/>
    </row>
    <row r="45" spans="1:10" ht="15" customHeight="1" x14ac:dyDescent="0.2">
      <c r="A45" s="15">
        <v>2</v>
      </c>
      <c r="B45" s="15" t="s">
        <v>70</v>
      </c>
      <c r="C45" s="21" t="s">
        <v>71</v>
      </c>
      <c r="D45" s="1" t="s">
        <v>72</v>
      </c>
      <c r="E45" s="1"/>
      <c r="F45" s="1" t="s">
        <v>68</v>
      </c>
      <c r="G45" s="1"/>
      <c r="H45" s="7" t="s">
        <v>73</v>
      </c>
      <c r="I45" s="7"/>
      <c r="J45" s="7"/>
    </row>
    <row r="46" spans="1:10" ht="15" customHeight="1" x14ac:dyDescent="0.2">
      <c r="A46" s="15">
        <v>3</v>
      </c>
      <c r="B46" s="15" t="s">
        <v>74</v>
      </c>
      <c r="C46" s="21" t="s">
        <v>75</v>
      </c>
      <c r="D46" s="1" t="s">
        <v>76</v>
      </c>
      <c r="E46" s="1"/>
      <c r="F46" s="1" t="s">
        <v>77</v>
      </c>
      <c r="G46" s="1"/>
      <c r="H46" s="7" t="s">
        <v>78</v>
      </c>
      <c r="I46" s="7"/>
      <c r="J46" s="7"/>
    </row>
    <row r="47" spans="1:10" ht="15" customHeight="1" x14ac:dyDescent="0.2">
      <c r="A47" s="15">
        <v>4</v>
      </c>
      <c r="B47" s="15" t="s">
        <v>79</v>
      </c>
      <c r="C47" s="21" t="s">
        <v>80</v>
      </c>
      <c r="D47" s="1" t="s">
        <v>81</v>
      </c>
      <c r="E47" s="1"/>
      <c r="F47" s="1" t="s">
        <v>82</v>
      </c>
      <c r="G47" s="1"/>
      <c r="H47" s="7" t="s">
        <v>83</v>
      </c>
      <c r="I47" s="7"/>
      <c r="J47" s="7"/>
    </row>
    <row r="48" spans="1:10" ht="15" customHeight="1" x14ac:dyDescent="0.2">
      <c r="A48" s="15">
        <v>5</v>
      </c>
      <c r="B48" s="15" t="s">
        <v>84</v>
      </c>
      <c r="C48" s="21" t="s">
        <v>85</v>
      </c>
      <c r="D48" s="1" t="s">
        <v>86</v>
      </c>
      <c r="E48" s="1"/>
      <c r="F48" s="1" t="s">
        <v>82</v>
      </c>
      <c r="G48" s="1"/>
      <c r="H48" s="7" t="s">
        <v>87</v>
      </c>
      <c r="I48" s="7"/>
      <c r="J48" s="7"/>
    </row>
    <row r="49" spans="1:10" ht="15" customHeight="1" x14ac:dyDescent="0.2">
      <c r="A49" s="15">
        <v>6</v>
      </c>
      <c r="B49" s="15" t="s">
        <v>88</v>
      </c>
      <c r="C49" s="21" t="s">
        <v>89</v>
      </c>
      <c r="D49" s="1" t="s">
        <v>90</v>
      </c>
      <c r="E49" s="1"/>
      <c r="F49" s="1" t="s">
        <v>91</v>
      </c>
      <c r="G49" s="1"/>
      <c r="H49" s="7" t="s">
        <v>92</v>
      </c>
      <c r="I49" s="7"/>
      <c r="J49" s="7"/>
    </row>
    <row r="50" spans="1:10" ht="15" customHeight="1" x14ac:dyDescent="0.2">
      <c r="A50" s="18"/>
      <c r="B50" s="18">
        <f>COUNTIF('Toàn bộ Test Case'!M:M,"Fail")</f>
        <v>6</v>
      </c>
      <c r="C50" s="2" t="s">
        <v>93</v>
      </c>
      <c r="D50" s="2"/>
      <c r="E50" s="2"/>
      <c r="F50" s="2"/>
      <c r="G50" s="2"/>
      <c r="H50" s="2"/>
      <c r="I50" s="2"/>
      <c r="J50" s="2"/>
    </row>
  </sheetData>
  <mergeCells count="46">
    <mergeCell ref="C50:J50"/>
    <mergeCell ref="D48:E48"/>
    <mergeCell ref="F48:G48"/>
    <mergeCell ref="H48:J48"/>
    <mergeCell ref="D49:E49"/>
    <mergeCell ref="F49:G49"/>
    <mergeCell ref="H49:J49"/>
    <mergeCell ref="D46:E46"/>
    <mergeCell ref="F46:G46"/>
    <mergeCell ref="H46:J46"/>
    <mergeCell ref="D47:E47"/>
    <mergeCell ref="F47:G47"/>
    <mergeCell ref="H47:J47"/>
    <mergeCell ref="D44:E44"/>
    <mergeCell ref="F44:G44"/>
    <mergeCell ref="H44:J44"/>
    <mergeCell ref="D45:E45"/>
    <mergeCell ref="F45:G45"/>
    <mergeCell ref="H45:J45"/>
    <mergeCell ref="B38:C38"/>
    <mergeCell ref="B39:C39"/>
    <mergeCell ref="B40:J40"/>
    <mergeCell ref="A42:J42"/>
    <mergeCell ref="D43:E43"/>
    <mergeCell ref="F43:G43"/>
    <mergeCell ref="H43:J43"/>
    <mergeCell ref="B32:C32"/>
    <mergeCell ref="B33:C33"/>
    <mergeCell ref="A35:J35"/>
    <mergeCell ref="B36:C36"/>
    <mergeCell ref="B37:C37"/>
    <mergeCell ref="B27:C27"/>
    <mergeCell ref="B28:C28"/>
    <mergeCell ref="B29:C29"/>
    <mergeCell ref="B30:C30"/>
    <mergeCell ref="B31:C31"/>
    <mergeCell ref="B20:C20"/>
    <mergeCell ref="B21:C21"/>
    <mergeCell ref="B22:C22"/>
    <mergeCell ref="B23:C23"/>
    <mergeCell ref="A26:J26"/>
    <mergeCell ref="A1:J1"/>
    <mergeCell ref="A2:J2"/>
    <mergeCell ref="A3:J3"/>
    <mergeCell ref="A5:J5"/>
    <mergeCell ref="A19:J1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36"/>
  <sheetViews>
    <sheetView zoomScaleNormal="100" workbookViewId="0">
      <pane xSplit="4" ySplit="1" topLeftCell="E69" activePane="bottomRight" state="frozen"/>
      <selection pane="topRight" activeCell="E1" sqref="E1"/>
      <selection pane="bottomLeft" activeCell="A2" sqref="A2"/>
      <selection pane="bottomRight" activeCell="A78" sqref="A78:XFD78"/>
    </sheetView>
  </sheetViews>
  <sheetFormatPr baseColWidth="10" defaultColWidth="8.6640625" defaultRowHeight="15" x14ac:dyDescent="0.2"/>
  <cols>
    <col min="1" max="1" width="11" customWidth="1"/>
    <col min="2" max="2" width="24" customWidth="1"/>
    <col min="3" max="3" width="12" customWidth="1"/>
    <col min="4" max="4" width="34" customWidth="1"/>
    <col min="5" max="5" width="28" customWidth="1"/>
    <col min="6" max="6" width="30" customWidth="1"/>
    <col min="7" max="7" width="38" customWidth="1"/>
    <col min="8" max="8" width="46" customWidth="1"/>
    <col min="9" max="9" width="11" customWidth="1"/>
    <col min="10" max="11" width="12" customWidth="1"/>
    <col min="12" max="12" width="26" customWidth="1"/>
    <col min="13" max="14" width="14" customWidth="1"/>
    <col min="15" max="15" width="13" customWidth="1"/>
    <col min="16" max="16" width="20" customWidth="1"/>
  </cols>
  <sheetData>
    <row r="1" spans="1:16" ht="31.5" customHeight="1" x14ac:dyDescent="0.2">
      <c r="A1" s="14" t="s">
        <v>60</v>
      </c>
      <c r="B1" s="14" t="s">
        <v>6</v>
      </c>
      <c r="C1" s="14" t="s">
        <v>94</v>
      </c>
      <c r="D1" s="14" t="s">
        <v>95</v>
      </c>
      <c r="E1" s="14" t="s">
        <v>96</v>
      </c>
      <c r="F1" s="14" t="s">
        <v>97</v>
      </c>
      <c r="G1" s="14" t="s">
        <v>98</v>
      </c>
      <c r="H1" s="14" t="s">
        <v>99</v>
      </c>
      <c r="I1" s="14" t="s">
        <v>100</v>
      </c>
      <c r="J1" s="14" t="s">
        <v>101</v>
      </c>
      <c r="K1" s="14" t="s">
        <v>102</v>
      </c>
      <c r="L1" s="14" t="s">
        <v>103</v>
      </c>
      <c r="M1" s="14" t="s">
        <v>104</v>
      </c>
      <c r="N1" s="14" t="s">
        <v>105</v>
      </c>
      <c r="O1" s="14" t="s">
        <v>106</v>
      </c>
      <c r="P1" s="14" t="s">
        <v>107</v>
      </c>
    </row>
    <row r="2" spans="1:16" ht="105" x14ac:dyDescent="0.2">
      <c r="A2" s="15" t="s">
        <v>108</v>
      </c>
      <c r="B2" s="16" t="s">
        <v>15</v>
      </c>
      <c r="C2" s="15" t="s">
        <v>109</v>
      </c>
      <c r="D2" s="16" t="s">
        <v>110</v>
      </c>
      <c r="E2" s="16" t="s">
        <v>111</v>
      </c>
      <c r="F2" s="16" t="s">
        <v>112</v>
      </c>
      <c r="G2" s="16" t="s">
        <v>113</v>
      </c>
      <c r="H2" s="16" t="s">
        <v>114</v>
      </c>
      <c r="I2" s="23" t="s">
        <v>46</v>
      </c>
      <c r="J2" s="15" t="s">
        <v>77</v>
      </c>
      <c r="K2" s="15" t="s">
        <v>115</v>
      </c>
      <c r="L2" s="16" t="s">
        <v>116</v>
      </c>
      <c r="M2" s="24" t="s">
        <v>9</v>
      </c>
      <c r="N2" s="16" t="s">
        <v>117</v>
      </c>
      <c r="O2" s="15" t="s">
        <v>118</v>
      </c>
      <c r="P2" s="16" t="s">
        <v>119</v>
      </c>
    </row>
    <row r="3" spans="1:16" ht="30" x14ac:dyDescent="0.2">
      <c r="A3" s="15" t="s">
        <v>120</v>
      </c>
      <c r="B3" s="16" t="s">
        <v>15</v>
      </c>
      <c r="C3" s="15" t="s">
        <v>109</v>
      </c>
      <c r="D3" s="16" t="s">
        <v>121</v>
      </c>
      <c r="E3" s="16" t="s">
        <v>122</v>
      </c>
      <c r="F3" s="16" t="s">
        <v>123</v>
      </c>
      <c r="G3" s="16" t="s">
        <v>124</v>
      </c>
      <c r="H3" s="16" t="s">
        <v>125</v>
      </c>
      <c r="I3" s="25" t="s">
        <v>47</v>
      </c>
      <c r="J3" s="15" t="s">
        <v>77</v>
      </c>
      <c r="K3" s="15" t="s">
        <v>115</v>
      </c>
      <c r="L3" s="16" t="s">
        <v>126</v>
      </c>
      <c r="M3" s="24" t="s">
        <v>9</v>
      </c>
      <c r="N3" s="16" t="s">
        <v>117</v>
      </c>
      <c r="O3" s="15" t="s">
        <v>118</v>
      </c>
      <c r="P3" s="16"/>
    </row>
    <row r="4" spans="1:16" ht="30" x14ac:dyDescent="0.2">
      <c r="A4" s="15" t="s">
        <v>127</v>
      </c>
      <c r="B4" s="16" t="s">
        <v>15</v>
      </c>
      <c r="C4" s="15" t="s">
        <v>109</v>
      </c>
      <c r="D4" s="16" t="s">
        <v>128</v>
      </c>
      <c r="E4" s="16" t="s">
        <v>122</v>
      </c>
      <c r="F4" s="16" t="s">
        <v>129</v>
      </c>
      <c r="G4" s="16" t="s">
        <v>124</v>
      </c>
      <c r="H4" s="16" t="s">
        <v>125</v>
      </c>
      <c r="I4" s="25" t="s">
        <v>47</v>
      </c>
      <c r="J4" s="15" t="s">
        <v>77</v>
      </c>
      <c r="K4" s="15" t="s">
        <v>115</v>
      </c>
      <c r="L4" s="16" t="s">
        <v>126</v>
      </c>
      <c r="M4" s="24" t="s">
        <v>9</v>
      </c>
      <c r="N4" s="16" t="s">
        <v>117</v>
      </c>
      <c r="O4" s="15" t="s">
        <v>118</v>
      </c>
      <c r="P4" s="16"/>
    </row>
    <row r="5" spans="1:16" ht="30" x14ac:dyDescent="0.2">
      <c r="A5" s="15" t="s">
        <v>130</v>
      </c>
      <c r="B5" s="16" t="s">
        <v>15</v>
      </c>
      <c r="C5" s="15" t="s">
        <v>109</v>
      </c>
      <c r="D5" s="16" t="s">
        <v>131</v>
      </c>
      <c r="E5" s="16" t="s">
        <v>122</v>
      </c>
      <c r="F5" s="16" t="s">
        <v>132</v>
      </c>
      <c r="G5" s="16" t="s">
        <v>124</v>
      </c>
      <c r="H5" s="16" t="s">
        <v>125</v>
      </c>
      <c r="I5" s="25" t="s">
        <v>47</v>
      </c>
      <c r="J5" s="15" t="s">
        <v>77</v>
      </c>
      <c r="K5" s="15" t="s">
        <v>115</v>
      </c>
      <c r="L5" s="16" t="s">
        <v>126</v>
      </c>
      <c r="M5" s="24" t="s">
        <v>9</v>
      </c>
      <c r="N5" s="16" t="s">
        <v>117</v>
      </c>
      <c r="O5" s="15" t="s">
        <v>118</v>
      </c>
      <c r="P5" s="16"/>
    </row>
    <row r="6" spans="1:16" ht="30" x14ac:dyDescent="0.2">
      <c r="A6" s="15" t="s">
        <v>133</v>
      </c>
      <c r="B6" s="16" t="s">
        <v>15</v>
      </c>
      <c r="C6" s="15" t="s">
        <v>109</v>
      </c>
      <c r="D6" s="16" t="s">
        <v>134</v>
      </c>
      <c r="E6" s="16" t="s">
        <v>122</v>
      </c>
      <c r="F6" s="16" t="s">
        <v>135</v>
      </c>
      <c r="G6" s="16" t="s">
        <v>124</v>
      </c>
      <c r="H6" s="16" t="s">
        <v>125</v>
      </c>
      <c r="I6" s="25" t="s">
        <v>47</v>
      </c>
      <c r="J6" s="15" t="s">
        <v>82</v>
      </c>
      <c r="K6" s="15" t="s">
        <v>115</v>
      </c>
      <c r="L6" s="16" t="s">
        <v>126</v>
      </c>
      <c r="M6" s="24" t="s">
        <v>9</v>
      </c>
      <c r="N6" s="16" t="s">
        <v>117</v>
      </c>
      <c r="O6" s="15" t="s">
        <v>118</v>
      </c>
      <c r="P6" s="16"/>
    </row>
    <row r="7" spans="1:16" ht="45" x14ac:dyDescent="0.2">
      <c r="A7" s="15" t="s">
        <v>88</v>
      </c>
      <c r="B7" s="16" t="s">
        <v>15</v>
      </c>
      <c r="C7" s="15" t="s">
        <v>109</v>
      </c>
      <c r="D7" s="16" t="s">
        <v>136</v>
      </c>
      <c r="E7" s="16" t="s">
        <v>137</v>
      </c>
      <c r="F7" s="16" t="s">
        <v>138</v>
      </c>
      <c r="G7" s="16" t="s">
        <v>139</v>
      </c>
      <c r="H7" s="16" t="s">
        <v>140</v>
      </c>
      <c r="I7" s="25" t="s">
        <v>47</v>
      </c>
      <c r="J7" s="15" t="s">
        <v>77</v>
      </c>
      <c r="K7" s="15" t="s">
        <v>115</v>
      </c>
      <c r="L7" s="16" t="s">
        <v>141</v>
      </c>
      <c r="M7" s="26" t="s">
        <v>10</v>
      </c>
      <c r="N7" s="16" t="s">
        <v>117</v>
      </c>
      <c r="O7" s="15" t="s">
        <v>118</v>
      </c>
      <c r="P7" s="16" t="s">
        <v>142</v>
      </c>
    </row>
    <row r="8" spans="1:16" ht="75" x14ac:dyDescent="0.2">
      <c r="A8" s="15" t="s">
        <v>143</v>
      </c>
      <c r="B8" s="16" t="s">
        <v>15</v>
      </c>
      <c r="C8" s="15" t="s">
        <v>109</v>
      </c>
      <c r="D8" s="16" t="s">
        <v>144</v>
      </c>
      <c r="E8" s="16" t="s">
        <v>145</v>
      </c>
      <c r="F8" s="16" t="s">
        <v>146</v>
      </c>
      <c r="G8" s="16" t="s">
        <v>147</v>
      </c>
      <c r="H8" s="16" t="s">
        <v>148</v>
      </c>
      <c r="I8" s="25" t="s">
        <v>47</v>
      </c>
      <c r="J8" s="15" t="s">
        <v>77</v>
      </c>
      <c r="K8" s="15" t="s">
        <v>115</v>
      </c>
      <c r="L8" s="16" t="s">
        <v>149</v>
      </c>
      <c r="M8" s="15" t="s">
        <v>12</v>
      </c>
      <c r="N8" s="16"/>
      <c r="O8" s="15"/>
      <c r="P8" s="16" t="s">
        <v>150</v>
      </c>
    </row>
    <row r="9" spans="1:16" ht="75" x14ac:dyDescent="0.2">
      <c r="A9" s="15" t="s">
        <v>151</v>
      </c>
      <c r="B9" s="16" t="s">
        <v>15</v>
      </c>
      <c r="C9" s="15" t="s">
        <v>109</v>
      </c>
      <c r="D9" s="16" t="s">
        <v>152</v>
      </c>
      <c r="E9" s="16" t="s">
        <v>145</v>
      </c>
      <c r="F9" s="16" t="s">
        <v>153</v>
      </c>
      <c r="G9" s="16" t="s">
        <v>154</v>
      </c>
      <c r="H9" s="16" t="s">
        <v>155</v>
      </c>
      <c r="I9" s="25" t="s">
        <v>47</v>
      </c>
      <c r="J9" s="15" t="s">
        <v>82</v>
      </c>
      <c r="K9" s="15" t="s">
        <v>115</v>
      </c>
      <c r="L9" s="16" t="s">
        <v>149</v>
      </c>
      <c r="M9" s="15" t="s">
        <v>12</v>
      </c>
      <c r="N9" s="16"/>
      <c r="O9" s="15"/>
      <c r="P9" s="16" t="s">
        <v>150</v>
      </c>
    </row>
    <row r="10" spans="1:16" ht="60" x14ac:dyDescent="0.2">
      <c r="A10" s="15" t="s">
        <v>156</v>
      </c>
      <c r="B10" s="16" t="s">
        <v>15</v>
      </c>
      <c r="C10" s="15" t="s">
        <v>109</v>
      </c>
      <c r="D10" s="16" t="s">
        <v>157</v>
      </c>
      <c r="E10" s="16" t="s">
        <v>158</v>
      </c>
      <c r="F10" s="16" t="s">
        <v>159</v>
      </c>
      <c r="G10" s="16" t="s">
        <v>160</v>
      </c>
      <c r="H10" s="16" t="s">
        <v>161</v>
      </c>
      <c r="I10" s="27" t="s">
        <v>49</v>
      </c>
      <c r="J10" s="15" t="s">
        <v>77</v>
      </c>
      <c r="K10" s="15" t="s">
        <v>115</v>
      </c>
      <c r="L10" s="16" t="s">
        <v>162</v>
      </c>
      <c r="M10" s="24" t="s">
        <v>9</v>
      </c>
      <c r="N10" s="16" t="s">
        <v>117</v>
      </c>
      <c r="O10" s="15" t="s">
        <v>118</v>
      </c>
      <c r="P10" s="16"/>
    </row>
    <row r="11" spans="1:16" ht="75" x14ac:dyDescent="0.2">
      <c r="A11" s="15" t="s">
        <v>163</v>
      </c>
      <c r="B11" s="16" t="s">
        <v>15</v>
      </c>
      <c r="C11" s="15" t="s">
        <v>109</v>
      </c>
      <c r="D11" s="16" t="s">
        <v>164</v>
      </c>
      <c r="E11" s="16" t="s">
        <v>165</v>
      </c>
      <c r="F11" s="16" t="s">
        <v>166</v>
      </c>
      <c r="G11" s="16" t="s">
        <v>167</v>
      </c>
      <c r="H11" s="16" t="s">
        <v>168</v>
      </c>
      <c r="I11" s="23" t="s">
        <v>46</v>
      </c>
      <c r="J11" s="15" t="s">
        <v>82</v>
      </c>
      <c r="K11" s="15" t="s">
        <v>57</v>
      </c>
      <c r="L11" s="16" t="s">
        <v>169</v>
      </c>
      <c r="M11" s="15" t="s">
        <v>12</v>
      </c>
      <c r="N11" s="16"/>
      <c r="O11" s="15"/>
      <c r="P11" s="16" t="s">
        <v>170</v>
      </c>
    </row>
    <row r="12" spans="1:16" ht="90" x14ac:dyDescent="0.2">
      <c r="A12" s="15" t="s">
        <v>171</v>
      </c>
      <c r="B12" s="16" t="s">
        <v>15</v>
      </c>
      <c r="C12" s="15" t="s">
        <v>109</v>
      </c>
      <c r="D12" s="16" t="s">
        <v>172</v>
      </c>
      <c r="E12" s="16" t="s">
        <v>173</v>
      </c>
      <c r="F12" s="16" t="s">
        <v>174</v>
      </c>
      <c r="G12" s="16" t="s">
        <v>175</v>
      </c>
      <c r="H12" s="16" t="s">
        <v>176</v>
      </c>
      <c r="I12" s="27" t="s">
        <v>49</v>
      </c>
      <c r="J12" s="15" t="s">
        <v>77</v>
      </c>
      <c r="K12" s="15" t="s">
        <v>115</v>
      </c>
      <c r="L12" s="16" t="s">
        <v>177</v>
      </c>
      <c r="M12" s="24" t="s">
        <v>9</v>
      </c>
      <c r="N12" s="16" t="s">
        <v>117</v>
      </c>
      <c r="O12" s="15" t="s">
        <v>118</v>
      </c>
      <c r="P12" s="16"/>
    </row>
    <row r="13" spans="1:16" ht="75" x14ac:dyDescent="0.2">
      <c r="A13" s="15" t="s">
        <v>178</v>
      </c>
      <c r="B13" s="16" t="s">
        <v>15</v>
      </c>
      <c r="C13" s="15" t="s">
        <v>179</v>
      </c>
      <c r="D13" s="16" t="s">
        <v>180</v>
      </c>
      <c r="E13" s="16" t="s">
        <v>181</v>
      </c>
      <c r="F13" s="16" t="s">
        <v>182</v>
      </c>
      <c r="G13" s="16" t="s">
        <v>183</v>
      </c>
      <c r="H13" s="16" t="s">
        <v>184</v>
      </c>
      <c r="I13" s="23" t="s">
        <v>46</v>
      </c>
      <c r="J13" s="15" t="s">
        <v>77</v>
      </c>
      <c r="K13" s="15" t="s">
        <v>115</v>
      </c>
      <c r="L13" s="16" t="s">
        <v>185</v>
      </c>
      <c r="M13" s="24" t="s">
        <v>9</v>
      </c>
      <c r="N13" s="16" t="s">
        <v>117</v>
      </c>
      <c r="O13" s="15" t="s">
        <v>118</v>
      </c>
      <c r="P13" s="16" t="s">
        <v>186</v>
      </c>
    </row>
    <row r="14" spans="1:16" ht="75" x14ac:dyDescent="0.2">
      <c r="A14" s="15" t="s">
        <v>187</v>
      </c>
      <c r="B14" s="16" t="s">
        <v>15</v>
      </c>
      <c r="C14" s="15" t="s">
        <v>179</v>
      </c>
      <c r="D14" s="16" t="s">
        <v>188</v>
      </c>
      <c r="E14" s="16" t="s">
        <v>181</v>
      </c>
      <c r="F14" s="16" t="s">
        <v>189</v>
      </c>
      <c r="G14" s="16" t="s">
        <v>183</v>
      </c>
      <c r="H14" s="16" t="s">
        <v>190</v>
      </c>
      <c r="I14" s="23" t="s">
        <v>46</v>
      </c>
      <c r="J14" s="15" t="s">
        <v>77</v>
      </c>
      <c r="K14" s="15" t="s">
        <v>115</v>
      </c>
      <c r="L14" s="16" t="s">
        <v>191</v>
      </c>
      <c r="M14" s="24" t="s">
        <v>9</v>
      </c>
      <c r="N14" s="16" t="s">
        <v>117</v>
      </c>
      <c r="O14" s="15" t="s">
        <v>118</v>
      </c>
      <c r="P14" s="16" t="s">
        <v>186</v>
      </c>
    </row>
    <row r="15" spans="1:16" ht="75" x14ac:dyDescent="0.2">
      <c r="A15" s="15" t="s">
        <v>192</v>
      </c>
      <c r="B15" s="16" t="s">
        <v>15</v>
      </c>
      <c r="C15" s="15" t="s">
        <v>179</v>
      </c>
      <c r="D15" s="16" t="s">
        <v>193</v>
      </c>
      <c r="E15" s="16" t="s">
        <v>194</v>
      </c>
      <c r="F15" s="16" t="s">
        <v>195</v>
      </c>
      <c r="G15" s="16" t="s">
        <v>183</v>
      </c>
      <c r="H15" s="16" t="s">
        <v>196</v>
      </c>
      <c r="I15" s="23" t="s">
        <v>46</v>
      </c>
      <c r="J15" s="15" t="s">
        <v>77</v>
      </c>
      <c r="K15" s="15" t="s">
        <v>115</v>
      </c>
      <c r="L15" s="16" t="s">
        <v>197</v>
      </c>
      <c r="M15" s="24" t="s">
        <v>9</v>
      </c>
      <c r="N15" s="16" t="s">
        <v>117</v>
      </c>
      <c r="O15" s="15" t="s">
        <v>118</v>
      </c>
      <c r="P15" s="16" t="s">
        <v>186</v>
      </c>
    </row>
    <row r="16" spans="1:16" ht="75" x14ac:dyDescent="0.2">
      <c r="A16" s="15" t="s">
        <v>198</v>
      </c>
      <c r="B16" s="16" t="s">
        <v>15</v>
      </c>
      <c r="C16" s="15" t="s">
        <v>179</v>
      </c>
      <c r="D16" s="16" t="s">
        <v>199</v>
      </c>
      <c r="E16" s="16" t="s">
        <v>181</v>
      </c>
      <c r="F16" s="16" t="s">
        <v>200</v>
      </c>
      <c r="G16" s="16" t="s">
        <v>183</v>
      </c>
      <c r="H16" s="16" t="s">
        <v>201</v>
      </c>
      <c r="I16" s="23" t="s">
        <v>46</v>
      </c>
      <c r="J16" s="15" t="s">
        <v>77</v>
      </c>
      <c r="K16" s="15" t="s">
        <v>115</v>
      </c>
      <c r="L16" s="16" t="s">
        <v>202</v>
      </c>
      <c r="M16" s="24" t="s">
        <v>9</v>
      </c>
      <c r="N16" s="16" t="s">
        <v>117</v>
      </c>
      <c r="O16" s="15" t="s">
        <v>118</v>
      </c>
      <c r="P16" s="16" t="s">
        <v>186</v>
      </c>
    </row>
    <row r="17" spans="1:16" ht="45" x14ac:dyDescent="0.2">
      <c r="A17" s="15" t="s">
        <v>203</v>
      </c>
      <c r="B17" s="16" t="s">
        <v>15</v>
      </c>
      <c r="C17" s="15" t="s">
        <v>179</v>
      </c>
      <c r="D17" s="16" t="s">
        <v>204</v>
      </c>
      <c r="E17" s="16" t="s">
        <v>205</v>
      </c>
      <c r="F17" s="16" t="s">
        <v>206</v>
      </c>
      <c r="G17" s="16" t="s">
        <v>183</v>
      </c>
      <c r="H17" s="16" t="s">
        <v>207</v>
      </c>
      <c r="I17" s="25" t="s">
        <v>47</v>
      </c>
      <c r="J17" s="15" t="s">
        <v>77</v>
      </c>
      <c r="K17" s="15" t="s">
        <v>115</v>
      </c>
      <c r="L17" s="16" t="s">
        <v>208</v>
      </c>
      <c r="M17" s="24" t="s">
        <v>9</v>
      </c>
      <c r="N17" s="16" t="s">
        <v>117</v>
      </c>
      <c r="O17" s="15" t="s">
        <v>118</v>
      </c>
      <c r="P17" s="16" t="s">
        <v>209</v>
      </c>
    </row>
    <row r="18" spans="1:16" ht="45" x14ac:dyDescent="0.2">
      <c r="A18" s="15" t="s">
        <v>210</v>
      </c>
      <c r="B18" s="16" t="s">
        <v>15</v>
      </c>
      <c r="C18" s="15" t="s">
        <v>179</v>
      </c>
      <c r="D18" s="16" t="s">
        <v>211</v>
      </c>
      <c r="E18" s="16" t="s">
        <v>212</v>
      </c>
      <c r="F18" s="16" t="s">
        <v>213</v>
      </c>
      <c r="G18" s="16" t="s">
        <v>183</v>
      </c>
      <c r="H18" s="16" t="s">
        <v>214</v>
      </c>
      <c r="I18" s="25" t="s">
        <v>47</v>
      </c>
      <c r="J18" s="15" t="s">
        <v>77</v>
      </c>
      <c r="K18" s="15" t="s">
        <v>115</v>
      </c>
      <c r="L18" s="16" t="s">
        <v>215</v>
      </c>
      <c r="M18" s="24" t="s">
        <v>9</v>
      </c>
      <c r="N18" s="16" t="s">
        <v>117</v>
      </c>
      <c r="O18" s="15" t="s">
        <v>118</v>
      </c>
      <c r="P18" s="16" t="s">
        <v>209</v>
      </c>
    </row>
    <row r="19" spans="1:16" ht="30" x14ac:dyDescent="0.2">
      <c r="A19" s="15" t="s">
        <v>216</v>
      </c>
      <c r="B19" s="16" t="s">
        <v>15</v>
      </c>
      <c r="C19" s="15" t="s">
        <v>179</v>
      </c>
      <c r="D19" s="16" t="s">
        <v>217</v>
      </c>
      <c r="E19" s="16" t="s">
        <v>122</v>
      </c>
      <c r="F19" s="16" t="s">
        <v>218</v>
      </c>
      <c r="G19" s="16" t="s">
        <v>183</v>
      </c>
      <c r="H19" s="16" t="s">
        <v>219</v>
      </c>
      <c r="I19" s="25" t="s">
        <v>47</v>
      </c>
      <c r="J19" s="15" t="s">
        <v>82</v>
      </c>
      <c r="K19" s="15" t="s">
        <v>115</v>
      </c>
      <c r="L19" s="16" t="s">
        <v>220</v>
      </c>
      <c r="M19" s="24" t="s">
        <v>9</v>
      </c>
      <c r="N19" s="16" t="s">
        <v>117</v>
      </c>
      <c r="O19" s="15" t="s">
        <v>118</v>
      </c>
      <c r="P19" s="16"/>
    </row>
    <row r="20" spans="1:16" ht="105" x14ac:dyDescent="0.2">
      <c r="A20" s="15" t="s">
        <v>221</v>
      </c>
      <c r="B20" s="16" t="s">
        <v>15</v>
      </c>
      <c r="C20" s="15" t="s">
        <v>179</v>
      </c>
      <c r="D20" s="16" t="s">
        <v>222</v>
      </c>
      <c r="E20" s="16" t="s">
        <v>223</v>
      </c>
      <c r="F20" s="16" t="s">
        <v>224</v>
      </c>
      <c r="G20" s="16" t="s">
        <v>225</v>
      </c>
      <c r="H20" s="16" t="s">
        <v>226</v>
      </c>
      <c r="I20" s="27" t="s">
        <v>49</v>
      </c>
      <c r="J20" s="15" t="s">
        <v>77</v>
      </c>
      <c r="K20" s="15" t="s">
        <v>115</v>
      </c>
      <c r="L20" s="16" t="s">
        <v>227</v>
      </c>
      <c r="M20" s="24" t="s">
        <v>9</v>
      </c>
      <c r="N20" s="16" t="s">
        <v>117</v>
      </c>
      <c r="O20" s="15" t="s">
        <v>118</v>
      </c>
      <c r="P20" s="16"/>
    </row>
    <row r="21" spans="1:16" ht="30" x14ac:dyDescent="0.2">
      <c r="A21" s="15" t="s">
        <v>228</v>
      </c>
      <c r="B21" s="16" t="s">
        <v>15</v>
      </c>
      <c r="C21" s="15" t="s">
        <v>229</v>
      </c>
      <c r="D21" s="16" t="s">
        <v>230</v>
      </c>
      <c r="E21" s="16" t="s">
        <v>231</v>
      </c>
      <c r="F21" s="16" t="s">
        <v>232</v>
      </c>
      <c r="G21" s="16" t="s">
        <v>233</v>
      </c>
      <c r="H21" s="16" t="s">
        <v>234</v>
      </c>
      <c r="I21" s="27" t="s">
        <v>49</v>
      </c>
      <c r="J21" s="15" t="s">
        <v>77</v>
      </c>
      <c r="K21" s="15" t="s">
        <v>115</v>
      </c>
      <c r="L21" s="16" t="s">
        <v>235</v>
      </c>
      <c r="M21" s="24" t="s">
        <v>9</v>
      </c>
      <c r="N21" s="16" t="s">
        <v>117</v>
      </c>
      <c r="O21" s="15" t="s">
        <v>118</v>
      </c>
      <c r="P21" s="16"/>
    </row>
    <row r="22" spans="1:16" ht="60" x14ac:dyDescent="0.2">
      <c r="A22" s="15" t="s">
        <v>236</v>
      </c>
      <c r="B22" s="16" t="s">
        <v>15</v>
      </c>
      <c r="C22" s="15" t="s">
        <v>229</v>
      </c>
      <c r="D22" s="16" t="s">
        <v>237</v>
      </c>
      <c r="E22" s="16" t="s">
        <v>231</v>
      </c>
      <c r="F22" s="16" t="s">
        <v>238</v>
      </c>
      <c r="G22" s="16" t="s">
        <v>239</v>
      </c>
      <c r="H22" s="16" t="s">
        <v>240</v>
      </c>
      <c r="I22" s="27" t="s">
        <v>49</v>
      </c>
      <c r="J22" s="15" t="s">
        <v>77</v>
      </c>
      <c r="K22" s="15" t="s">
        <v>115</v>
      </c>
      <c r="L22" s="16" t="s">
        <v>241</v>
      </c>
      <c r="M22" s="24" t="s">
        <v>9</v>
      </c>
      <c r="N22" s="16" t="s">
        <v>117</v>
      </c>
      <c r="O22" s="15" t="s">
        <v>118</v>
      </c>
      <c r="P22" s="16"/>
    </row>
    <row r="23" spans="1:16" ht="75" x14ac:dyDescent="0.2">
      <c r="A23" s="15" t="s">
        <v>242</v>
      </c>
      <c r="B23" s="16" t="s">
        <v>15</v>
      </c>
      <c r="C23" s="15" t="s">
        <v>229</v>
      </c>
      <c r="D23" s="16" t="s">
        <v>243</v>
      </c>
      <c r="E23" s="16" t="s">
        <v>244</v>
      </c>
      <c r="F23" s="16" t="s">
        <v>245</v>
      </c>
      <c r="G23" s="16" t="s">
        <v>246</v>
      </c>
      <c r="H23" s="16" t="s">
        <v>247</v>
      </c>
      <c r="I23" s="23" t="s">
        <v>46</v>
      </c>
      <c r="J23" s="15" t="s">
        <v>77</v>
      </c>
      <c r="K23" s="15" t="s">
        <v>115</v>
      </c>
      <c r="L23" s="16" t="s">
        <v>248</v>
      </c>
      <c r="M23" s="15" t="s">
        <v>12</v>
      </c>
      <c r="N23" s="16"/>
      <c r="O23" s="15"/>
      <c r="P23" s="16" t="s">
        <v>150</v>
      </c>
    </row>
    <row r="24" spans="1:16" ht="75" x14ac:dyDescent="0.2">
      <c r="A24" s="15" t="s">
        <v>249</v>
      </c>
      <c r="B24" s="16" t="s">
        <v>15</v>
      </c>
      <c r="C24" s="15" t="s">
        <v>250</v>
      </c>
      <c r="D24" s="16" t="s">
        <v>251</v>
      </c>
      <c r="E24" s="16" t="s">
        <v>252</v>
      </c>
      <c r="F24" s="16" t="s">
        <v>253</v>
      </c>
      <c r="G24" s="16" t="s">
        <v>254</v>
      </c>
      <c r="H24" s="16" t="s">
        <v>255</v>
      </c>
      <c r="I24" s="23" t="s">
        <v>46</v>
      </c>
      <c r="J24" s="15" t="s">
        <v>77</v>
      </c>
      <c r="K24" s="15" t="s">
        <v>115</v>
      </c>
      <c r="L24" s="16" t="s">
        <v>256</v>
      </c>
      <c r="M24" s="24" t="s">
        <v>9</v>
      </c>
      <c r="N24" s="16" t="s">
        <v>117</v>
      </c>
      <c r="O24" s="15" t="s">
        <v>118</v>
      </c>
      <c r="P24" s="16" t="s">
        <v>186</v>
      </c>
    </row>
    <row r="25" spans="1:16" ht="90" x14ac:dyDescent="0.2">
      <c r="A25" s="15" t="s">
        <v>257</v>
      </c>
      <c r="B25" s="16" t="s">
        <v>15</v>
      </c>
      <c r="C25" s="15" t="s">
        <v>250</v>
      </c>
      <c r="D25" s="16" t="s">
        <v>258</v>
      </c>
      <c r="E25" s="16" t="s">
        <v>259</v>
      </c>
      <c r="F25" s="16" t="s">
        <v>260</v>
      </c>
      <c r="G25" s="16" t="s">
        <v>261</v>
      </c>
      <c r="H25" s="16" t="s">
        <v>262</v>
      </c>
      <c r="I25" s="27" t="s">
        <v>49</v>
      </c>
      <c r="J25" s="15" t="s">
        <v>77</v>
      </c>
      <c r="K25" s="15" t="s">
        <v>115</v>
      </c>
      <c r="L25" s="16" t="s">
        <v>263</v>
      </c>
      <c r="M25" s="24" t="s">
        <v>9</v>
      </c>
      <c r="N25" s="16" t="s">
        <v>117</v>
      </c>
      <c r="O25" s="15" t="s">
        <v>118</v>
      </c>
      <c r="P25" s="16" t="s">
        <v>264</v>
      </c>
    </row>
    <row r="26" spans="1:16" ht="75" x14ac:dyDescent="0.2">
      <c r="A26" s="15" t="s">
        <v>265</v>
      </c>
      <c r="B26" s="16" t="s">
        <v>15</v>
      </c>
      <c r="C26" s="15" t="s">
        <v>250</v>
      </c>
      <c r="D26" s="16" t="s">
        <v>266</v>
      </c>
      <c r="E26" s="16" t="s">
        <v>267</v>
      </c>
      <c r="F26" s="16" t="s">
        <v>268</v>
      </c>
      <c r="G26" s="16" t="s">
        <v>269</v>
      </c>
      <c r="H26" s="16" t="s">
        <v>270</v>
      </c>
      <c r="I26" s="23" t="s">
        <v>46</v>
      </c>
      <c r="J26" s="15" t="s">
        <v>82</v>
      </c>
      <c r="K26" s="15" t="s">
        <v>115</v>
      </c>
      <c r="L26" s="16" t="s">
        <v>271</v>
      </c>
      <c r="M26" s="15" t="s">
        <v>12</v>
      </c>
      <c r="N26" s="16"/>
      <c r="O26" s="15"/>
      <c r="P26" s="16" t="s">
        <v>170</v>
      </c>
    </row>
    <row r="27" spans="1:16" ht="45" x14ac:dyDescent="0.2">
      <c r="A27" s="15" t="s">
        <v>272</v>
      </c>
      <c r="B27" s="16" t="s">
        <v>17</v>
      </c>
      <c r="C27" s="15" t="s">
        <v>273</v>
      </c>
      <c r="D27" s="16" t="s">
        <v>274</v>
      </c>
      <c r="E27" s="16" t="s">
        <v>275</v>
      </c>
      <c r="F27" s="16" t="s">
        <v>276</v>
      </c>
      <c r="G27" s="16" t="s">
        <v>277</v>
      </c>
      <c r="H27" s="16" t="s">
        <v>278</v>
      </c>
      <c r="I27" s="23" t="s">
        <v>46</v>
      </c>
      <c r="J27" s="15" t="s">
        <v>77</v>
      </c>
      <c r="K27" s="15" t="s">
        <v>115</v>
      </c>
      <c r="L27" s="16" t="s">
        <v>279</v>
      </c>
      <c r="M27" s="24" t="s">
        <v>9</v>
      </c>
      <c r="N27" s="16" t="s">
        <v>117</v>
      </c>
      <c r="O27" s="15" t="s">
        <v>118</v>
      </c>
      <c r="P27" s="16"/>
    </row>
    <row r="28" spans="1:16" ht="75" x14ac:dyDescent="0.2">
      <c r="A28" s="15" t="s">
        <v>280</v>
      </c>
      <c r="B28" s="16" t="s">
        <v>17</v>
      </c>
      <c r="C28" s="15" t="s">
        <v>273</v>
      </c>
      <c r="D28" s="16" t="s">
        <v>281</v>
      </c>
      <c r="E28" s="16" t="s">
        <v>282</v>
      </c>
      <c r="F28" s="16" t="s">
        <v>283</v>
      </c>
      <c r="G28" s="16" t="s">
        <v>284</v>
      </c>
      <c r="H28" s="16" t="s">
        <v>285</v>
      </c>
      <c r="I28" s="23" t="s">
        <v>46</v>
      </c>
      <c r="J28" s="15" t="s">
        <v>77</v>
      </c>
      <c r="K28" s="15" t="s">
        <v>115</v>
      </c>
      <c r="L28" s="16" t="s">
        <v>286</v>
      </c>
      <c r="M28" s="24" t="s">
        <v>9</v>
      </c>
      <c r="N28" s="16" t="s">
        <v>117</v>
      </c>
      <c r="O28" s="15" t="s">
        <v>118</v>
      </c>
      <c r="P28" s="16" t="s">
        <v>186</v>
      </c>
    </row>
    <row r="29" spans="1:16" ht="75" x14ac:dyDescent="0.2">
      <c r="A29" s="15" t="s">
        <v>287</v>
      </c>
      <c r="B29" s="16" t="s">
        <v>17</v>
      </c>
      <c r="C29" s="15" t="s">
        <v>273</v>
      </c>
      <c r="D29" s="16" t="s">
        <v>288</v>
      </c>
      <c r="E29" s="16" t="s">
        <v>289</v>
      </c>
      <c r="F29" s="16" t="s">
        <v>290</v>
      </c>
      <c r="G29" s="16" t="s">
        <v>291</v>
      </c>
      <c r="H29" s="16" t="s">
        <v>292</v>
      </c>
      <c r="I29" s="23" t="s">
        <v>46</v>
      </c>
      <c r="J29" s="15" t="s">
        <v>82</v>
      </c>
      <c r="K29" s="15" t="s">
        <v>115</v>
      </c>
      <c r="L29" s="16" t="s">
        <v>293</v>
      </c>
      <c r="M29" s="15" t="s">
        <v>12</v>
      </c>
      <c r="N29" s="16"/>
      <c r="O29" s="15"/>
      <c r="P29" s="16" t="s">
        <v>150</v>
      </c>
    </row>
    <row r="30" spans="1:16" ht="75" x14ac:dyDescent="0.2">
      <c r="A30" s="15" t="s">
        <v>294</v>
      </c>
      <c r="B30" s="16" t="s">
        <v>17</v>
      </c>
      <c r="C30" s="15" t="s">
        <v>273</v>
      </c>
      <c r="D30" s="16" t="s">
        <v>295</v>
      </c>
      <c r="E30" s="16" t="s">
        <v>296</v>
      </c>
      <c r="F30" s="16" t="s">
        <v>297</v>
      </c>
      <c r="G30" s="16" t="s">
        <v>298</v>
      </c>
      <c r="H30" s="16" t="s">
        <v>299</v>
      </c>
      <c r="I30" s="25" t="s">
        <v>47</v>
      </c>
      <c r="J30" s="15" t="s">
        <v>82</v>
      </c>
      <c r="K30" s="15" t="s">
        <v>115</v>
      </c>
      <c r="L30" s="16" t="s">
        <v>300</v>
      </c>
      <c r="M30" s="15" t="s">
        <v>12</v>
      </c>
      <c r="N30" s="16"/>
      <c r="O30" s="15"/>
      <c r="P30" s="16" t="s">
        <v>150</v>
      </c>
    </row>
    <row r="31" spans="1:16" ht="60" x14ac:dyDescent="0.2">
      <c r="A31" s="15" t="s">
        <v>301</v>
      </c>
      <c r="B31" s="16" t="s">
        <v>17</v>
      </c>
      <c r="C31" s="15" t="s">
        <v>273</v>
      </c>
      <c r="D31" s="16" t="s">
        <v>302</v>
      </c>
      <c r="E31" s="16" t="s">
        <v>303</v>
      </c>
      <c r="F31" s="16" t="s">
        <v>304</v>
      </c>
      <c r="G31" s="16" t="s">
        <v>305</v>
      </c>
      <c r="H31" s="16" t="s">
        <v>306</v>
      </c>
      <c r="I31" s="23" t="s">
        <v>46</v>
      </c>
      <c r="J31" s="15" t="s">
        <v>77</v>
      </c>
      <c r="K31" s="15" t="s">
        <v>115</v>
      </c>
      <c r="L31" s="16" t="s">
        <v>307</v>
      </c>
      <c r="M31" s="24" t="s">
        <v>9</v>
      </c>
      <c r="N31" s="16" t="s">
        <v>117</v>
      </c>
      <c r="O31" s="15" t="s">
        <v>118</v>
      </c>
      <c r="P31" s="16" t="s">
        <v>308</v>
      </c>
    </row>
    <row r="32" spans="1:16" ht="30" x14ac:dyDescent="0.2">
      <c r="A32" s="15" t="s">
        <v>309</v>
      </c>
      <c r="B32" s="16" t="s">
        <v>17</v>
      </c>
      <c r="C32" s="15" t="s">
        <v>273</v>
      </c>
      <c r="D32" s="16" t="s">
        <v>310</v>
      </c>
      <c r="E32" s="16" t="s">
        <v>231</v>
      </c>
      <c r="F32" s="16" t="s">
        <v>311</v>
      </c>
      <c r="G32" s="16" t="s">
        <v>312</v>
      </c>
      <c r="H32" s="16" t="s">
        <v>313</v>
      </c>
      <c r="I32" s="25" t="s">
        <v>47</v>
      </c>
      <c r="J32" s="15" t="s">
        <v>82</v>
      </c>
      <c r="K32" s="15" t="s">
        <v>115</v>
      </c>
      <c r="L32" s="16" t="s">
        <v>314</v>
      </c>
      <c r="M32" s="24" t="s">
        <v>9</v>
      </c>
      <c r="N32" s="16" t="s">
        <v>117</v>
      </c>
      <c r="O32" s="15" t="s">
        <v>118</v>
      </c>
      <c r="P32" s="16"/>
    </row>
    <row r="33" spans="1:16" ht="45" x14ac:dyDescent="0.2">
      <c r="A33" s="15" t="s">
        <v>315</v>
      </c>
      <c r="B33" s="16" t="s">
        <v>17</v>
      </c>
      <c r="C33" s="15" t="s">
        <v>273</v>
      </c>
      <c r="D33" s="16" t="s">
        <v>316</v>
      </c>
      <c r="E33" s="16" t="s">
        <v>317</v>
      </c>
      <c r="F33" s="16" t="s">
        <v>318</v>
      </c>
      <c r="G33" s="16" t="s">
        <v>319</v>
      </c>
      <c r="H33" s="16" t="s">
        <v>320</v>
      </c>
      <c r="I33" s="23" t="s">
        <v>46</v>
      </c>
      <c r="J33" s="15" t="s">
        <v>77</v>
      </c>
      <c r="K33" s="15" t="s">
        <v>115</v>
      </c>
      <c r="L33" s="16" t="s">
        <v>321</v>
      </c>
      <c r="M33" s="24" t="s">
        <v>9</v>
      </c>
      <c r="N33" s="16" t="s">
        <v>117</v>
      </c>
      <c r="O33" s="15" t="s">
        <v>118</v>
      </c>
      <c r="P33" s="16"/>
    </row>
    <row r="34" spans="1:16" ht="60" x14ac:dyDescent="0.2">
      <c r="A34" s="15" t="s">
        <v>74</v>
      </c>
      <c r="B34" s="16" t="s">
        <v>17</v>
      </c>
      <c r="C34" s="15" t="s">
        <v>322</v>
      </c>
      <c r="D34" s="16" t="s">
        <v>323</v>
      </c>
      <c r="E34" s="16" t="s">
        <v>324</v>
      </c>
      <c r="F34" s="16" t="s">
        <v>325</v>
      </c>
      <c r="G34" s="16" t="s">
        <v>326</v>
      </c>
      <c r="H34" s="16" t="s">
        <v>327</v>
      </c>
      <c r="I34" s="23" t="s">
        <v>46</v>
      </c>
      <c r="J34" s="15" t="s">
        <v>77</v>
      </c>
      <c r="K34" s="15" t="s">
        <v>115</v>
      </c>
      <c r="L34" s="16" t="s">
        <v>328</v>
      </c>
      <c r="M34" s="26" t="s">
        <v>10</v>
      </c>
      <c r="N34" s="16" t="s">
        <v>117</v>
      </c>
      <c r="O34" s="15" t="s">
        <v>118</v>
      </c>
      <c r="P34" s="16" t="s">
        <v>329</v>
      </c>
    </row>
    <row r="35" spans="1:16" ht="30" x14ac:dyDescent="0.2">
      <c r="A35" s="15" t="s">
        <v>330</v>
      </c>
      <c r="B35" s="16" t="s">
        <v>17</v>
      </c>
      <c r="C35" s="15" t="s">
        <v>322</v>
      </c>
      <c r="D35" s="16" t="s">
        <v>331</v>
      </c>
      <c r="E35" s="16" t="s">
        <v>332</v>
      </c>
      <c r="F35" s="16" t="s">
        <v>333</v>
      </c>
      <c r="G35" s="16" t="s">
        <v>334</v>
      </c>
      <c r="H35" s="16" t="s">
        <v>335</v>
      </c>
      <c r="I35" s="25" t="s">
        <v>47</v>
      </c>
      <c r="J35" s="15" t="s">
        <v>77</v>
      </c>
      <c r="K35" s="15" t="s">
        <v>115</v>
      </c>
      <c r="L35" s="16" t="s">
        <v>336</v>
      </c>
      <c r="M35" s="24" t="s">
        <v>9</v>
      </c>
      <c r="N35" s="16" t="s">
        <v>117</v>
      </c>
      <c r="O35" s="15" t="s">
        <v>118</v>
      </c>
      <c r="P35" s="16"/>
    </row>
    <row r="36" spans="1:16" ht="75" x14ac:dyDescent="0.2">
      <c r="A36" s="15" t="s">
        <v>337</v>
      </c>
      <c r="B36" s="16" t="s">
        <v>17</v>
      </c>
      <c r="C36" s="15" t="s">
        <v>322</v>
      </c>
      <c r="D36" s="16" t="s">
        <v>338</v>
      </c>
      <c r="E36" s="16" t="s">
        <v>332</v>
      </c>
      <c r="F36" s="16" t="s">
        <v>339</v>
      </c>
      <c r="G36" s="16" t="s">
        <v>340</v>
      </c>
      <c r="H36" s="16" t="s">
        <v>341</v>
      </c>
      <c r="I36" s="27" t="s">
        <v>49</v>
      </c>
      <c r="J36" s="15" t="s">
        <v>77</v>
      </c>
      <c r="K36" s="15" t="s">
        <v>115</v>
      </c>
      <c r="L36" s="16" t="s">
        <v>342</v>
      </c>
      <c r="M36" s="24" t="s">
        <v>9</v>
      </c>
      <c r="N36" s="16" t="s">
        <v>117</v>
      </c>
      <c r="O36" s="15" t="s">
        <v>118</v>
      </c>
      <c r="P36" s="16" t="s">
        <v>264</v>
      </c>
    </row>
    <row r="37" spans="1:16" ht="60" x14ac:dyDescent="0.2">
      <c r="A37" s="15" t="s">
        <v>343</v>
      </c>
      <c r="B37" s="16" t="s">
        <v>17</v>
      </c>
      <c r="C37" s="15" t="s">
        <v>322</v>
      </c>
      <c r="D37" s="16" t="s">
        <v>344</v>
      </c>
      <c r="E37" s="16" t="s">
        <v>332</v>
      </c>
      <c r="F37" s="16" t="s">
        <v>345</v>
      </c>
      <c r="G37" s="16" t="s">
        <v>346</v>
      </c>
      <c r="H37" s="16" t="s">
        <v>347</v>
      </c>
      <c r="I37" s="28" t="s">
        <v>48</v>
      </c>
      <c r="J37" s="15" t="s">
        <v>77</v>
      </c>
      <c r="K37" s="15" t="s">
        <v>115</v>
      </c>
      <c r="L37" s="16" t="s">
        <v>348</v>
      </c>
      <c r="M37" s="24" t="s">
        <v>9</v>
      </c>
      <c r="N37" s="16" t="s">
        <v>117</v>
      </c>
      <c r="O37" s="15" t="s">
        <v>118</v>
      </c>
      <c r="P37" s="16" t="s">
        <v>264</v>
      </c>
    </row>
    <row r="38" spans="1:16" ht="30" x14ac:dyDescent="0.2">
      <c r="A38" s="15" t="s">
        <v>349</v>
      </c>
      <c r="B38" s="16" t="s">
        <v>17</v>
      </c>
      <c r="C38" s="15" t="s">
        <v>322</v>
      </c>
      <c r="D38" s="16" t="s">
        <v>350</v>
      </c>
      <c r="E38" s="16" t="s">
        <v>332</v>
      </c>
      <c r="F38" s="16" t="s">
        <v>351</v>
      </c>
      <c r="G38" s="16" t="s">
        <v>352</v>
      </c>
      <c r="H38" s="16" t="s">
        <v>353</v>
      </c>
      <c r="I38" s="23" t="s">
        <v>46</v>
      </c>
      <c r="J38" s="15" t="s">
        <v>77</v>
      </c>
      <c r="K38" s="15" t="s">
        <v>115</v>
      </c>
      <c r="L38" s="16" t="s">
        <v>354</v>
      </c>
      <c r="M38" s="24" t="s">
        <v>9</v>
      </c>
      <c r="N38" s="16" t="s">
        <v>117</v>
      </c>
      <c r="O38" s="15" t="s">
        <v>118</v>
      </c>
      <c r="P38" s="16"/>
    </row>
    <row r="39" spans="1:16" ht="75" x14ac:dyDescent="0.2">
      <c r="A39" s="15" t="s">
        <v>355</v>
      </c>
      <c r="B39" s="16" t="s">
        <v>17</v>
      </c>
      <c r="C39" s="15" t="s">
        <v>322</v>
      </c>
      <c r="D39" s="16" t="s">
        <v>356</v>
      </c>
      <c r="E39" s="16" t="s">
        <v>357</v>
      </c>
      <c r="F39" s="16" t="s">
        <v>358</v>
      </c>
      <c r="G39" s="16" t="s">
        <v>359</v>
      </c>
      <c r="H39" s="16" t="s">
        <v>360</v>
      </c>
      <c r="I39" s="23" t="s">
        <v>46</v>
      </c>
      <c r="J39" s="15" t="s">
        <v>77</v>
      </c>
      <c r="K39" s="15" t="s">
        <v>115</v>
      </c>
      <c r="L39" s="16" t="s">
        <v>361</v>
      </c>
      <c r="M39" s="24" t="s">
        <v>9</v>
      </c>
      <c r="N39" s="16" t="s">
        <v>117</v>
      </c>
      <c r="O39" s="15" t="s">
        <v>118</v>
      </c>
      <c r="P39" s="16"/>
    </row>
    <row r="40" spans="1:16" ht="30" x14ac:dyDescent="0.2">
      <c r="A40" s="15" t="s">
        <v>362</v>
      </c>
      <c r="B40" s="16" t="s">
        <v>17</v>
      </c>
      <c r="C40" s="15" t="s">
        <v>322</v>
      </c>
      <c r="D40" s="16" t="s">
        <v>363</v>
      </c>
      <c r="E40" s="16" t="s">
        <v>332</v>
      </c>
      <c r="F40" s="16" t="s">
        <v>364</v>
      </c>
      <c r="G40" s="16" t="s">
        <v>365</v>
      </c>
      <c r="H40" s="16" t="s">
        <v>366</v>
      </c>
      <c r="I40" s="23" t="s">
        <v>46</v>
      </c>
      <c r="J40" s="15" t="s">
        <v>77</v>
      </c>
      <c r="K40" s="15" t="s">
        <v>115</v>
      </c>
      <c r="L40" s="16" t="s">
        <v>367</v>
      </c>
      <c r="M40" s="24" t="s">
        <v>9</v>
      </c>
      <c r="N40" s="16" t="s">
        <v>117</v>
      </c>
      <c r="O40" s="15" t="s">
        <v>118</v>
      </c>
      <c r="P40" s="16"/>
    </row>
    <row r="41" spans="1:16" ht="30" x14ac:dyDescent="0.2">
      <c r="A41" s="15" t="s">
        <v>368</v>
      </c>
      <c r="B41" s="16" t="s">
        <v>17</v>
      </c>
      <c r="C41" s="15" t="s">
        <v>322</v>
      </c>
      <c r="D41" s="16" t="s">
        <v>369</v>
      </c>
      <c r="E41" s="16" t="s">
        <v>370</v>
      </c>
      <c r="F41" s="16" t="s">
        <v>371</v>
      </c>
      <c r="G41" s="16" t="s">
        <v>372</v>
      </c>
      <c r="H41" s="16" t="s">
        <v>373</v>
      </c>
      <c r="I41" s="25" t="s">
        <v>47</v>
      </c>
      <c r="J41" s="15" t="s">
        <v>82</v>
      </c>
      <c r="K41" s="15" t="s">
        <v>115</v>
      </c>
      <c r="L41" s="16" t="s">
        <v>374</v>
      </c>
      <c r="M41" s="24" t="s">
        <v>9</v>
      </c>
      <c r="N41" s="16" t="s">
        <v>117</v>
      </c>
      <c r="O41" s="15" t="s">
        <v>118</v>
      </c>
      <c r="P41" s="16"/>
    </row>
    <row r="42" spans="1:16" ht="60" x14ac:dyDescent="0.2">
      <c r="A42" s="15" t="s">
        <v>375</v>
      </c>
      <c r="B42" s="16" t="s">
        <v>17</v>
      </c>
      <c r="C42" s="15" t="s">
        <v>322</v>
      </c>
      <c r="D42" s="16" t="s">
        <v>376</v>
      </c>
      <c r="E42" s="16" t="s">
        <v>377</v>
      </c>
      <c r="F42" s="16" t="s">
        <v>378</v>
      </c>
      <c r="G42" s="16" t="s">
        <v>379</v>
      </c>
      <c r="H42" s="16" t="s">
        <v>380</v>
      </c>
      <c r="I42" s="23" t="s">
        <v>46</v>
      </c>
      <c r="J42" s="15" t="s">
        <v>82</v>
      </c>
      <c r="K42" s="15" t="s">
        <v>115</v>
      </c>
      <c r="L42" s="16" t="s">
        <v>381</v>
      </c>
      <c r="M42" s="24" t="s">
        <v>9</v>
      </c>
      <c r="N42" s="16" t="s">
        <v>117</v>
      </c>
      <c r="O42" s="15" t="s">
        <v>118</v>
      </c>
      <c r="P42" s="16" t="s">
        <v>308</v>
      </c>
    </row>
    <row r="43" spans="1:16" ht="60" x14ac:dyDescent="0.2">
      <c r="A43" s="15" t="s">
        <v>382</v>
      </c>
      <c r="B43" s="16" t="s">
        <v>17</v>
      </c>
      <c r="C43" s="15" t="s">
        <v>383</v>
      </c>
      <c r="D43" s="16" t="s">
        <v>384</v>
      </c>
      <c r="E43" s="16" t="s">
        <v>385</v>
      </c>
      <c r="F43" s="16" t="s">
        <v>194</v>
      </c>
      <c r="G43" s="16" t="s">
        <v>386</v>
      </c>
      <c r="H43" s="16" t="s">
        <v>387</v>
      </c>
      <c r="I43" s="23" t="s">
        <v>46</v>
      </c>
      <c r="J43" s="15" t="s">
        <v>77</v>
      </c>
      <c r="K43" s="15" t="s">
        <v>115</v>
      </c>
      <c r="L43" s="16" t="s">
        <v>388</v>
      </c>
      <c r="M43" s="24" t="s">
        <v>9</v>
      </c>
      <c r="N43" s="16" t="s">
        <v>117</v>
      </c>
      <c r="O43" s="15" t="s">
        <v>118</v>
      </c>
      <c r="P43" s="16"/>
    </row>
    <row r="44" spans="1:16" ht="105" x14ac:dyDescent="0.2">
      <c r="A44" s="15" t="s">
        <v>389</v>
      </c>
      <c r="B44" s="16" t="s">
        <v>17</v>
      </c>
      <c r="C44" s="15" t="s">
        <v>383</v>
      </c>
      <c r="D44" s="16" t="s">
        <v>390</v>
      </c>
      <c r="E44" s="16" t="s">
        <v>391</v>
      </c>
      <c r="F44" s="16" t="s">
        <v>392</v>
      </c>
      <c r="G44" s="16" t="s">
        <v>393</v>
      </c>
      <c r="H44" s="16" t="s">
        <v>394</v>
      </c>
      <c r="I44" s="23" t="s">
        <v>46</v>
      </c>
      <c r="J44" s="15" t="s">
        <v>77</v>
      </c>
      <c r="K44" s="15" t="s">
        <v>115</v>
      </c>
      <c r="L44" s="16" t="s">
        <v>395</v>
      </c>
      <c r="M44" s="24" t="s">
        <v>9</v>
      </c>
      <c r="N44" s="16" t="s">
        <v>117</v>
      </c>
      <c r="O44" s="15" t="s">
        <v>118</v>
      </c>
      <c r="P44" s="16"/>
    </row>
    <row r="45" spans="1:16" ht="30" x14ac:dyDescent="0.2">
      <c r="A45" s="15" t="s">
        <v>396</v>
      </c>
      <c r="B45" s="16" t="s">
        <v>17</v>
      </c>
      <c r="C45" s="15" t="s">
        <v>383</v>
      </c>
      <c r="D45" s="16" t="s">
        <v>397</v>
      </c>
      <c r="E45" s="16" t="s">
        <v>398</v>
      </c>
      <c r="F45" s="16" t="s">
        <v>399</v>
      </c>
      <c r="G45" s="16" t="s">
        <v>400</v>
      </c>
      <c r="H45" s="16" t="s">
        <v>401</v>
      </c>
      <c r="I45" s="27" t="s">
        <v>49</v>
      </c>
      <c r="J45" s="15" t="s">
        <v>77</v>
      </c>
      <c r="K45" s="15" t="s">
        <v>115</v>
      </c>
      <c r="L45" s="16" t="s">
        <v>402</v>
      </c>
      <c r="M45" s="24" t="s">
        <v>9</v>
      </c>
      <c r="N45" s="16" t="s">
        <v>117</v>
      </c>
      <c r="O45" s="15" t="s">
        <v>118</v>
      </c>
      <c r="P45" s="16"/>
    </row>
    <row r="46" spans="1:16" ht="90" x14ac:dyDescent="0.2">
      <c r="A46" s="15" t="s">
        <v>403</v>
      </c>
      <c r="B46" s="16" t="s">
        <v>17</v>
      </c>
      <c r="C46" s="15" t="s">
        <v>383</v>
      </c>
      <c r="D46" s="16" t="s">
        <v>404</v>
      </c>
      <c r="E46" s="16" t="s">
        <v>405</v>
      </c>
      <c r="F46" s="16" t="s">
        <v>406</v>
      </c>
      <c r="G46" s="16" t="s">
        <v>407</v>
      </c>
      <c r="H46" s="16" t="s">
        <v>408</v>
      </c>
      <c r="I46" s="23" t="s">
        <v>46</v>
      </c>
      <c r="J46" s="15" t="s">
        <v>82</v>
      </c>
      <c r="K46" s="15" t="s">
        <v>115</v>
      </c>
      <c r="L46" s="16" t="s">
        <v>409</v>
      </c>
      <c r="M46" s="15" t="s">
        <v>12</v>
      </c>
      <c r="N46" s="16"/>
      <c r="O46" s="15"/>
      <c r="P46" s="16" t="s">
        <v>410</v>
      </c>
    </row>
    <row r="47" spans="1:16" ht="60" x14ac:dyDescent="0.2">
      <c r="A47" s="15" t="s">
        <v>411</v>
      </c>
      <c r="B47" s="16" t="s">
        <v>17</v>
      </c>
      <c r="C47" s="15" t="s">
        <v>412</v>
      </c>
      <c r="D47" s="16" t="s">
        <v>413</v>
      </c>
      <c r="E47" s="16" t="s">
        <v>414</v>
      </c>
      <c r="F47" s="16" t="s">
        <v>415</v>
      </c>
      <c r="G47" s="16" t="s">
        <v>416</v>
      </c>
      <c r="H47" s="16" t="s">
        <v>417</v>
      </c>
      <c r="I47" s="23" t="s">
        <v>46</v>
      </c>
      <c r="J47" s="15" t="s">
        <v>77</v>
      </c>
      <c r="K47" s="15" t="s">
        <v>115</v>
      </c>
      <c r="L47" s="16" t="s">
        <v>418</v>
      </c>
      <c r="M47" s="24" t="s">
        <v>9</v>
      </c>
      <c r="N47" s="16" t="s">
        <v>117</v>
      </c>
      <c r="O47" s="15" t="s">
        <v>118</v>
      </c>
      <c r="P47" s="16" t="s">
        <v>308</v>
      </c>
    </row>
    <row r="48" spans="1:16" ht="90" x14ac:dyDescent="0.2">
      <c r="A48" s="15" t="s">
        <v>419</v>
      </c>
      <c r="B48" s="16" t="s">
        <v>17</v>
      </c>
      <c r="C48" s="15" t="s">
        <v>412</v>
      </c>
      <c r="D48" s="16" t="s">
        <v>420</v>
      </c>
      <c r="E48" s="16" t="s">
        <v>332</v>
      </c>
      <c r="F48" s="16" t="s">
        <v>421</v>
      </c>
      <c r="G48" s="16" t="s">
        <v>422</v>
      </c>
      <c r="H48" s="16" t="s">
        <v>423</v>
      </c>
      <c r="I48" s="23" t="s">
        <v>46</v>
      </c>
      <c r="J48" s="15" t="s">
        <v>77</v>
      </c>
      <c r="K48" s="15" t="s">
        <v>115</v>
      </c>
      <c r="L48" s="16" t="s">
        <v>424</v>
      </c>
      <c r="M48" s="24" t="s">
        <v>9</v>
      </c>
      <c r="N48" s="16" t="s">
        <v>117</v>
      </c>
      <c r="O48" s="15" t="s">
        <v>118</v>
      </c>
      <c r="P48" s="16" t="s">
        <v>308</v>
      </c>
    </row>
    <row r="49" spans="1:16" ht="75" x14ac:dyDescent="0.2">
      <c r="A49" s="15" t="s">
        <v>425</v>
      </c>
      <c r="B49" s="16" t="s">
        <v>19</v>
      </c>
      <c r="C49" s="15" t="s">
        <v>426</v>
      </c>
      <c r="D49" s="16" t="s">
        <v>427</v>
      </c>
      <c r="E49" s="16" t="s">
        <v>428</v>
      </c>
      <c r="F49" s="16" t="s">
        <v>429</v>
      </c>
      <c r="G49" s="16" t="s">
        <v>430</v>
      </c>
      <c r="H49" s="16" t="s">
        <v>431</v>
      </c>
      <c r="I49" s="23" t="s">
        <v>46</v>
      </c>
      <c r="J49" s="15" t="s">
        <v>77</v>
      </c>
      <c r="K49" s="15" t="s">
        <v>115</v>
      </c>
      <c r="L49" s="16" t="s">
        <v>432</v>
      </c>
      <c r="M49" s="15" t="s">
        <v>12</v>
      </c>
      <c r="N49" s="16"/>
      <c r="O49" s="15"/>
      <c r="P49" s="16" t="s">
        <v>150</v>
      </c>
    </row>
    <row r="50" spans="1:16" ht="75" x14ac:dyDescent="0.2">
      <c r="A50" s="15" t="s">
        <v>433</v>
      </c>
      <c r="B50" s="16" t="s">
        <v>19</v>
      </c>
      <c r="C50" s="15" t="s">
        <v>426</v>
      </c>
      <c r="D50" s="16" t="s">
        <v>434</v>
      </c>
      <c r="E50" s="16" t="s">
        <v>435</v>
      </c>
      <c r="F50" s="16" t="s">
        <v>436</v>
      </c>
      <c r="G50" s="16" t="s">
        <v>437</v>
      </c>
      <c r="H50" s="16" t="s">
        <v>438</v>
      </c>
      <c r="I50" s="25" t="s">
        <v>47</v>
      </c>
      <c r="J50" s="15" t="s">
        <v>77</v>
      </c>
      <c r="K50" s="15" t="s">
        <v>115</v>
      </c>
      <c r="L50" s="16" t="s">
        <v>432</v>
      </c>
      <c r="M50" s="15" t="s">
        <v>12</v>
      </c>
      <c r="N50" s="16"/>
      <c r="O50" s="15"/>
      <c r="P50" s="16" t="s">
        <v>150</v>
      </c>
    </row>
    <row r="51" spans="1:16" ht="75" x14ac:dyDescent="0.2">
      <c r="A51" s="15" t="s">
        <v>439</v>
      </c>
      <c r="B51" s="16" t="s">
        <v>19</v>
      </c>
      <c r="C51" s="15" t="s">
        <v>426</v>
      </c>
      <c r="D51" s="16" t="s">
        <v>440</v>
      </c>
      <c r="E51" s="16" t="s">
        <v>441</v>
      </c>
      <c r="F51" s="16" t="s">
        <v>442</v>
      </c>
      <c r="G51" s="16" t="s">
        <v>443</v>
      </c>
      <c r="H51" s="16" t="s">
        <v>444</v>
      </c>
      <c r="I51" s="28" t="s">
        <v>48</v>
      </c>
      <c r="J51" s="15" t="s">
        <v>77</v>
      </c>
      <c r="K51" s="15" t="s">
        <v>115</v>
      </c>
      <c r="L51" s="16" t="s">
        <v>432</v>
      </c>
      <c r="M51" s="15" t="s">
        <v>12</v>
      </c>
      <c r="N51" s="16"/>
      <c r="O51" s="15"/>
      <c r="P51" s="16" t="s">
        <v>150</v>
      </c>
    </row>
    <row r="52" spans="1:16" ht="75" x14ac:dyDescent="0.2">
      <c r="A52" s="15" t="s">
        <v>445</v>
      </c>
      <c r="B52" s="16" t="s">
        <v>19</v>
      </c>
      <c r="C52" s="15" t="s">
        <v>426</v>
      </c>
      <c r="D52" s="16" t="s">
        <v>446</v>
      </c>
      <c r="E52" s="16" t="s">
        <v>447</v>
      </c>
      <c r="F52" s="16" t="s">
        <v>448</v>
      </c>
      <c r="G52" s="16" t="s">
        <v>449</v>
      </c>
      <c r="H52" s="16" t="s">
        <v>450</v>
      </c>
      <c r="I52" s="28" t="s">
        <v>48</v>
      </c>
      <c r="J52" s="15" t="s">
        <v>82</v>
      </c>
      <c r="K52" s="15" t="s">
        <v>115</v>
      </c>
      <c r="L52" s="16" t="s">
        <v>432</v>
      </c>
      <c r="M52" s="15" t="s">
        <v>12</v>
      </c>
      <c r="N52" s="16"/>
      <c r="O52" s="15"/>
      <c r="P52" s="16" t="s">
        <v>150</v>
      </c>
    </row>
    <row r="53" spans="1:16" ht="75" x14ac:dyDescent="0.2">
      <c r="A53" s="15" t="s">
        <v>451</v>
      </c>
      <c r="B53" s="16" t="s">
        <v>19</v>
      </c>
      <c r="C53" s="15" t="s">
        <v>426</v>
      </c>
      <c r="D53" s="16" t="s">
        <v>452</v>
      </c>
      <c r="E53" s="16" t="s">
        <v>453</v>
      </c>
      <c r="F53" s="16" t="s">
        <v>454</v>
      </c>
      <c r="G53" s="16" t="s">
        <v>455</v>
      </c>
      <c r="H53" s="16" t="s">
        <v>456</v>
      </c>
      <c r="I53" s="23" t="s">
        <v>46</v>
      </c>
      <c r="J53" s="15" t="s">
        <v>77</v>
      </c>
      <c r="K53" s="15" t="s">
        <v>115</v>
      </c>
      <c r="L53" s="16" t="s">
        <v>432</v>
      </c>
      <c r="M53" s="15" t="s">
        <v>12</v>
      </c>
      <c r="N53" s="16"/>
      <c r="O53" s="15"/>
      <c r="P53" s="16" t="s">
        <v>150</v>
      </c>
    </row>
    <row r="54" spans="1:16" ht="120" x14ac:dyDescent="0.2">
      <c r="A54" s="15" t="s">
        <v>457</v>
      </c>
      <c r="B54" s="16" t="s">
        <v>19</v>
      </c>
      <c r="C54" s="15" t="s">
        <v>458</v>
      </c>
      <c r="D54" s="16" t="s">
        <v>459</v>
      </c>
      <c r="E54" s="16" t="s">
        <v>460</v>
      </c>
      <c r="F54" s="16" t="s">
        <v>461</v>
      </c>
      <c r="G54" s="16" t="s">
        <v>462</v>
      </c>
      <c r="H54" s="16" t="s">
        <v>463</v>
      </c>
      <c r="I54" s="23" t="s">
        <v>46</v>
      </c>
      <c r="J54" s="15" t="s">
        <v>77</v>
      </c>
      <c r="K54" s="15" t="s">
        <v>115</v>
      </c>
      <c r="L54" s="16" t="s">
        <v>464</v>
      </c>
      <c r="M54" s="24" t="s">
        <v>9</v>
      </c>
      <c r="N54" s="16" t="s">
        <v>117</v>
      </c>
      <c r="O54" s="15" t="s">
        <v>118</v>
      </c>
      <c r="P54" s="16" t="s">
        <v>308</v>
      </c>
    </row>
    <row r="55" spans="1:16" ht="60" x14ac:dyDescent="0.2">
      <c r="A55" s="15" t="s">
        <v>465</v>
      </c>
      <c r="B55" s="16" t="s">
        <v>19</v>
      </c>
      <c r="C55" s="15" t="s">
        <v>458</v>
      </c>
      <c r="D55" s="16" t="s">
        <v>466</v>
      </c>
      <c r="E55" s="16" t="s">
        <v>467</v>
      </c>
      <c r="F55" s="16" t="s">
        <v>468</v>
      </c>
      <c r="G55" s="16" t="s">
        <v>469</v>
      </c>
      <c r="H55" s="16" t="s">
        <v>470</v>
      </c>
      <c r="I55" s="23" t="s">
        <v>46</v>
      </c>
      <c r="J55" s="15" t="s">
        <v>77</v>
      </c>
      <c r="K55" s="15" t="s">
        <v>115</v>
      </c>
      <c r="L55" s="16" t="s">
        <v>471</v>
      </c>
      <c r="M55" s="24" t="s">
        <v>9</v>
      </c>
      <c r="N55" s="16" t="s">
        <v>117</v>
      </c>
      <c r="O55" s="15" t="s">
        <v>118</v>
      </c>
      <c r="P55" s="16" t="s">
        <v>308</v>
      </c>
    </row>
    <row r="56" spans="1:16" ht="30" x14ac:dyDescent="0.2">
      <c r="A56" s="15" t="s">
        <v>472</v>
      </c>
      <c r="B56" s="16" t="s">
        <v>19</v>
      </c>
      <c r="C56" s="15" t="s">
        <v>458</v>
      </c>
      <c r="D56" s="16" t="s">
        <v>473</v>
      </c>
      <c r="E56" s="16" t="s">
        <v>474</v>
      </c>
      <c r="F56" s="16" t="s">
        <v>475</v>
      </c>
      <c r="G56" s="16" t="s">
        <v>476</v>
      </c>
      <c r="H56" s="16" t="s">
        <v>477</v>
      </c>
      <c r="I56" s="25" t="s">
        <v>47</v>
      </c>
      <c r="J56" s="15" t="s">
        <v>77</v>
      </c>
      <c r="K56" s="15" t="s">
        <v>115</v>
      </c>
      <c r="L56" s="16" t="s">
        <v>478</v>
      </c>
      <c r="M56" s="24" t="s">
        <v>9</v>
      </c>
      <c r="N56" s="16" t="s">
        <v>117</v>
      </c>
      <c r="O56" s="15" t="s">
        <v>118</v>
      </c>
      <c r="P56" s="16"/>
    </row>
    <row r="57" spans="1:16" ht="30" x14ac:dyDescent="0.2">
      <c r="A57" s="15" t="s">
        <v>479</v>
      </c>
      <c r="B57" s="16" t="s">
        <v>19</v>
      </c>
      <c r="C57" s="15" t="s">
        <v>458</v>
      </c>
      <c r="D57" s="16" t="s">
        <v>480</v>
      </c>
      <c r="E57" s="16" t="s">
        <v>481</v>
      </c>
      <c r="F57" s="16" t="s">
        <v>482</v>
      </c>
      <c r="G57" s="16" t="s">
        <v>476</v>
      </c>
      <c r="H57" s="16" t="s">
        <v>483</v>
      </c>
      <c r="I57" s="25" t="s">
        <v>47</v>
      </c>
      <c r="J57" s="15" t="s">
        <v>77</v>
      </c>
      <c r="K57" s="15" t="s">
        <v>115</v>
      </c>
      <c r="L57" s="16" t="s">
        <v>484</v>
      </c>
      <c r="M57" s="24" t="s">
        <v>9</v>
      </c>
      <c r="N57" s="16" t="s">
        <v>117</v>
      </c>
      <c r="O57" s="15" t="s">
        <v>118</v>
      </c>
      <c r="P57" s="16"/>
    </row>
    <row r="58" spans="1:16" ht="30" x14ac:dyDescent="0.2">
      <c r="A58" s="15" t="s">
        <v>485</v>
      </c>
      <c r="B58" s="16" t="s">
        <v>19</v>
      </c>
      <c r="C58" s="15" t="s">
        <v>458</v>
      </c>
      <c r="D58" s="16" t="s">
        <v>486</v>
      </c>
      <c r="E58" s="16" t="s">
        <v>487</v>
      </c>
      <c r="F58" s="16" t="s">
        <v>488</v>
      </c>
      <c r="G58" s="16" t="s">
        <v>489</v>
      </c>
      <c r="H58" s="16" t="s">
        <v>490</v>
      </c>
      <c r="I58" s="25" t="s">
        <v>47</v>
      </c>
      <c r="J58" s="15" t="s">
        <v>77</v>
      </c>
      <c r="K58" s="15" t="s">
        <v>115</v>
      </c>
      <c r="L58" s="16" t="s">
        <v>491</v>
      </c>
      <c r="M58" s="24" t="s">
        <v>9</v>
      </c>
      <c r="N58" s="16" t="s">
        <v>117</v>
      </c>
      <c r="O58" s="15" t="s">
        <v>118</v>
      </c>
      <c r="P58" s="16"/>
    </row>
    <row r="59" spans="1:16" ht="30" x14ac:dyDescent="0.2">
      <c r="A59" s="15" t="s">
        <v>492</v>
      </c>
      <c r="B59" s="16" t="s">
        <v>19</v>
      </c>
      <c r="C59" s="15" t="s">
        <v>458</v>
      </c>
      <c r="D59" s="16" t="s">
        <v>493</v>
      </c>
      <c r="E59" s="16" t="s">
        <v>231</v>
      </c>
      <c r="F59" s="16" t="s">
        <v>494</v>
      </c>
      <c r="G59" s="16" t="s">
        <v>495</v>
      </c>
      <c r="H59" s="16" t="s">
        <v>496</v>
      </c>
      <c r="I59" s="27" t="s">
        <v>49</v>
      </c>
      <c r="J59" s="15" t="s">
        <v>77</v>
      </c>
      <c r="K59" s="15" t="s">
        <v>115</v>
      </c>
      <c r="L59" s="16" t="s">
        <v>497</v>
      </c>
      <c r="M59" s="24" t="s">
        <v>9</v>
      </c>
      <c r="N59" s="16" t="s">
        <v>117</v>
      </c>
      <c r="O59" s="15" t="s">
        <v>118</v>
      </c>
      <c r="P59" s="16"/>
    </row>
    <row r="60" spans="1:16" ht="60" x14ac:dyDescent="0.2">
      <c r="A60" s="15" t="s">
        <v>498</v>
      </c>
      <c r="B60" s="16" t="s">
        <v>19</v>
      </c>
      <c r="C60" s="15" t="s">
        <v>458</v>
      </c>
      <c r="D60" s="16" t="s">
        <v>499</v>
      </c>
      <c r="E60" s="16" t="s">
        <v>500</v>
      </c>
      <c r="F60" s="16" t="s">
        <v>501</v>
      </c>
      <c r="G60" s="16" t="s">
        <v>502</v>
      </c>
      <c r="H60" s="16" t="s">
        <v>503</v>
      </c>
      <c r="I60" s="28" t="s">
        <v>48</v>
      </c>
      <c r="J60" s="15" t="s">
        <v>77</v>
      </c>
      <c r="K60" s="15" t="s">
        <v>115</v>
      </c>
      <c r="L60" s="16" t="s">
        <v>504</v>
      </c>
      <c r="M60" s="24" t="s">
        <v>9</v>
      </c>
      <c r="N60" s="16" t="s">
        <v>117</v>
      </c>
      <c r="O60" s="15" t="s">
        <v>118</v>
      </c>
      <c r="P60" s="16" t="s">
        <v>505</v>
      </c>
    </row>
    <row r="61" spans="1:16" ht="45" x14ac:dyDescent="0.2">
      <c r="A61" s="15" t="s">
        <v>506</v>
      </c>
      <c r="B61" s="16" t="s">
        <v>19</v>
      </c>
      <c r="C61" s="15" t="s">
        <v>458</v>
      </c>
      <c r="D61" s="16" t="s">
        <v>507</v>
      </c>
      <c r="E61" s="16" t="s">
        <v>508</v>
      </c>
      <c r="F61" s="16" t="s">
        <v>509</v>
      </c>
      <c r="G61" s="16" t="s">
        <v>510</v>
      </c>
      <c r="H61" s="16" t="s">
        <v>511</v>
      </c>
      <c r="I61" s="25" t="s">
        <v>47</v>
      </c>
      <c r="J61" s="15" t="s">
        <v>77</v>
      </c>
      <c r="K61" s="15" t="s">
        <v>115</v>
      </c>
      <c r="L61" s="16" t="s">
        <v>512</v>
      </c>
      <c r="M61" s="24" t="s">
        <v>9</v>
      </c>
      <c r="N61" s="16" t="s">
        <v>117</v>
      </c>
      <c r="O61" s="15" t="s">
        <v>118</v>
      </c>
      <c r="P61" s="16" t="s">
        <v>505</v>
      </c>
    </row>
    <row r="62" spans="1:16" ht="45" x14ac:dyDescent="0.2">
      <c r="A62" s="15" t="s">
        <v>513</v>
      </c>
      <c r="B62" s="16" t="s">
        <v>19</v>
      </c>
      <c r="C62" s="15" t="s">
        <v>458</v>
      </c>
      <c r="D62" s="16" t="s">
        <v>514</v>
      </c>
      <c r="E62" s="16" t="s">
        <v>515</v>
      </c>
      <c r="F62" s="16" t="s">
        <v>516</v>
      </c>
      <c r="G62" s="16" t="s">
        <v>517</v>
      </c>
      <c r="H62" s="16" t="s">
        <v>518</v>
      </c>
      <c r="I62" s="28" t="s">
        <v>48</v>
      </c>
      <c r="J62" s="15" t="s">
        <v>77</v>
      </c>
      <c r="K62" s="15" t="s">
        <v>57</v>
      </c>
      <c r="L62" s="16" t="s">
        <v>519</v>
      </c>
      <c r="M62" s="24" t="s">
        <v>9</v>
      </c>
      <c r="N62" s="16" t="s">
        <v>117</v>
      </c>
      <c r="O62" s="15" t="s">
        <v>118</v>
      </c>
      <c r="P62" s="16" t="s">
        <v>520</v>
      </c>
    </row>
    <row r="63" spans="1:16" ht="60" x14ac:dyDescent="0.2">
      <c r="A63" s="15" t="s">
        <v>521</v>
      </c>
      <c r="B63" s="16" t="s">
        <v>19</v>
      </c>
      <c r="C63" s="15" t="s">
        <v>458</v>
      </c>
      <c r="D63" s="16" t="s">
        <v>522</v>
      </c>
      <c r="E63" s="16" t="s">
        <v>523</v>
      </c>
      <c r="F63" s="16" t="s">
        <v>524</v>
      </c>
      <c r="G63" s="16" t="s">
        <v>525</v>
      </c>
      <c r="H63" s="16" t="s">
        <v>526</v>
      </c>
      <c r="I63" s="23" t="s">
        <v>46</v>
      </c>
      <c r="J63" s="15" t="s">
        <v>82</v>
      </c>
      <c r="K63" s="15" t="s">
        <v>57</v>
      </c>
      <c r="L63" s="16" t="s">
        <v>527</v>
      </c>
      <c r="M63" s="15" t="s">
        <v>12</v>
      </c>
      <c r="N63" s="16"/>
      <c r="O63" s="15"/>
      <c r="P63" s="16" t="s">
        <v>528</v>
      </c>
    </row>
    <row r="64" spans="1:16" ht="60" x14ac:dyDescent="0.2">
      <c r="A64" s="15" t="s">
        <v>529</v>
      </c>
      <c r="B64" s="16" t="s">
        <v>19</v>
      </c>
      <c r="C64" s="15" t="s">
        <v>530</v>
      </c>
      <c r="D64" s="16" t="s">
        <v>531</v>
      </c>
      <c r="E64" s="16" t="s">
        <v>532</v>
      </c>
      <c r="F64" s="16" t="s">
        <v>533</v>
      </c>
      <c r="G64" s="16" t="s">
        <v>534</v>
      </c>
      <c r="H64" s="16" t="s">
        <v>535</v>
      </c>
      <c r="I64" s="23" t="s">
        <v>46</v>
      </c>
      <c r="J64" s="15" t="s">
        <v>77</v>
      </c>
      <c r="K64" s="15" t="s">
        <v>115</v>
      </c>
      <c r="L64" s="16" t="s">
        <v>536</v>
      </c>
      <c r="M64" s="24" t="s">
        <v>9</v>
      </c>
      <c r="N64" s="16" t="s">
        <v>117</v>
      </c>
      <c r="O64" s="15" t="s">
        <v>118</v>
      </c>
      <c r="P64" s="16" t="s">
        <v>308</v>
      </c>
    </row>
    <row r="65" spans="1:16" ht="75" x14ac:dyDescent="0.2">
      <c r="A65" s="15" t="s">
        <v>537</v>
      </c>
      <c r="B65" s="16" t="s">
        <v>19</v>
      </c>
      <c r="C65" s="15" t="s">
        <v>530</v>
      </c>
      <c r="D65" s="16" t="s">
        <v>538</v>
      </c>
      <c r="E65" s="16" t="s">
        <v>539</v>
      </c>
      <c r="F65" s="16" t="s">
        <v>540</v>
      </c>
      <c r="G65" s="16" t="s">
        <v>541</v>
      </c>
      <c r="H65" s="16" t="s">
        <v>542</v>
      </c>
      <c r="I65" s="23" t="s">
        <v>46</v>
      </c>
      <c r="J65" s="15" t="s">
        <v>77</v>
      </c>
      <c r="K65" s="15" t="s">
        <v>115</v>
      </c>
      <c r="L65" s="16" t="s">
        <v>543</v>
      </c>
      <c r="M65" s="15" t="s">
        <v>12</v>
      </c>
      <c r="N65" s="16"/>
      <c r="O65" s="15"/>
      <c r="P65" s="16" t="s">
        <v>150</v>
      </c>
    </row>
    <row r="66" spans="1:16" ht="150" x14ac:dyDescent="0.2">
      <c r="A66" s="15" t="s">
        <v>544</v>
      </c>
      <c r="B66" s="16" t="s">
        <v>19</v>
      </c>
      <c r="C66" s="15" t="s">
        <v>530</v>
      </c>
      <c r="D66" s="16" t="s">
        <v>545</v>
      </c>
      <c r="E66" s="16" t="s">
        <v>546</v>
      </c>
      <c r="F66" s="16" t="s">
        <v>547</v>
      </c>
      <c r="G66" s="16" t="s">
        <v>548</v>
      </c>
      <c r="H66" s="16" t="s">
        <v>549</v>
      </c>
      <c r="I66" s="27" t="s">
        <v>49</v>
      </c>
      <c r="J66" s="15" t="s">
        <v>77</v>
      </c>
      <c r="K66" s="15" t="s">
        <v>115</v>
      </c>
      <c r="L66" s="16" t="s">
        <v>550</v>
      </c>
      <c r="M66" s="24" t="s">
        <v>9</v>
      </c>
      <c r="N66" s="16" t="s">
        <v>117</v>
      </c>
      <c r="O66" s="15" t="s">
        <v>118</v>
      </c>
      <c r="P66" s="16" t="s">
        <v>551</v>
      </c>
    </row>
    <row r="67" spans="1:16" ht="45" x14ac:dyDescent="0.2">
      <c r="A67" s="15" t="s">
        <v>552</v>
      </c>
      <c r="B67" s="16" t="s">
        <v>19</v>
      </c>
      <c r="C67" s="15" t="s">
        <v>530</v>
      </c>
      <c r="D67" s="16" t="s">
        <v>553</v>
      </c>
      <c r="E67" s="16" t="s">
        <v>554</v>
      </c>
      <c r="F67" s="16" t="s">
        <v>555</v>
      </c>
      <c r="G67" s="16" t="s">
        <v>556</v>
      </c>
      <c r="H67" s="16" t="s">
        <v>557</v>
      </c>
      <c r="I67" s="23" t="s">
        <v>46</v>
      </c>
      <c r="J67" s="15" t="s">
        <v>77</v>
      </c>
      <c r="K67" s="15" t="s">
        <v>115</v>
      </c>
      <c r="L67" s="16" t="s">
        <v>558</v>
      </c>
      <c r="M67" s="24" t="s">
        <v>9</v>
      </c>
      <c r="N67" s="16" t="s">
        <v>117</v>
      </c>
      <c r="O67" s="15" t="s">
        <v>118</v>
      </c>
      <c r="P67" s="16"/>
    </row>
    <row r="68" spans="1:16" ht="105" x14ac:dyDescent="0.2">
      <c r="A68" s="15" t="s">
        <v>559</v>
      </c>
      <c r="B68" s="16" t="s">
        <v>19</v>
      </c>
      <c r="C68" s="15" t="s">
        <v>530</v>
      </c>
      <c r="D68" s="16" t="s">
        <v>560</v>
      </c>
      <c r="E68" s="16" t="s">
        <v>561</v>
      </c>
      <c r="F68" s="16" t="s">
        <v>562</v>
      </c>
      <c r="G68" s="16" t="s">
        <v>563</v>
      </c>
      <c r="H68" s="16" t="s">
        <v>564</v>
      </c>
      <c r="I68" s="25" t="s">
        <v>47</v>
      </c>
      <c r="J68" s="15" t="s">
        <v>77</v>
      </c>
      <c r="K68" s="15" t="s">
        <v>115</v>
      </c>
      <c r="L68" s="16" t="s">
        <v>565</v>
      </c>
      <c r="M68" s="24" t="s">
        <v>9</v>
      </c>
      <c r="N68" s="16" t="s">
        <v>117</v>
      </c>
      <c r="O68" s="15" t="s">
        <v>118</v>
      </c>
      <c r="P68" s="16"/>
    </row>
    <row r="69" spans="1:16" ht="30" x14ac:dyDescent="0.2">
      <c r="A69" s="15" t="s">
        <v>566</v>
      </c>
      <c r="B69" s="16" t="s">
        <v>19</v>
      </c>
      <c r="C69" s="15" t="s">
        <v>567</v>
      </c>
      <c r="D69" s="16" t="s">
        <v>568</v>
      </c>
      <c r="E69" s="16" t="s">
        <v>569</v>
      </c>
      <c r="F69" s="16" t="s">
        <v>570</v>
      </c>
      <c r="G69" s="16" t="s">
        <v>571</v>
      </c>
      <c r="H69" s="16" t="s">
        <v>572</v>
      </c>
      <c r="I69" s="25" t="s">
        <v>47</v>
      </c>
      <c r="J69" s="15" t="s">
        <v>77</v>
      </c>
      <c r="K69" s="15" t="s">
        <v>115</v>
      </c>
      <c r="L69" s="16" t="s">
        <v>573</v>
      </c>
      <c r="M69" s="24" t="s">
        <v>9</v>
      </c>
      <c r="N69" s="16" t="s">
        <v>117</v>
      </c>
      <c r="O69" s="15" t="s">
        <v>118</v>
      </c>
      <c r="P69" s="16"/>
    </row>
    <row r="70" spans="1:16" ht="105" x14ac:dyDescent="0.2">
      <c r="A70" s="15" t="s">
        <v>79</v>
      </c>
      <c r="B70" s="16" t="s">
        <v>19</v>
      </c>
      <c r="C70" s="15" t="s">
        <v>567</v>
      </c>
      <c r="D70" s="16" t="s">
        <v>574</v>
      </c>
      <c r="E70" s="16" t="s">
        <v>569</v>
      </c>
      <c r="F70" s="16" t="s">
        <v>575</v>
      </c>
      <c r="G70" s="16" t="s">
        <v>576</v>
      </c>
      <c r="H70" s="16" t="s">
        <v>577</v>
      </c>
      <c r="I70" s="23" t="s">
        <v>46</v>
      </c>
      <c r="J70" s="15" t="s">
        <v>77</v>
      </c>
      <c r="K70" s="15" t="s">
        <v>115</v>
      </c>
      <c r="L70" s="16" t="s">
        <v>578</v>
      </c>
      <c r="M70" s="26" t="s">
        <v>10</v>
      </c>
      <c r="N70" s="16" t="s">
        <v>117</v>
      </c>
      <c r="O70" s="15" t="s">
        <v>118</v>
      </c>
      <c r="P70" s="16" t="s">
        <v>579</v>
      </c>
    </row>
    <row r="71" spans="1:16" ht="90" x14ac:dyDescent="0.2">
      <c r="A71" s="15" t="s">
        <v>580</v>
      </c>
      <c r="B71" s="16" t="s">
        <v>21</v>
      </c>
      <c r="C71" s="15" t="s">
        <v>581</v>
      </c>
      <c r="D71" s="16" t="s">
        <v>582</v>
      </c>
      <c r="E71" s="16" t="s">
        <v>324</v>
      </c>
      <c r="F71" s="16" t="s">
        <v>583</v>
      </c>
      <c r="G71" s="16" t="s">
        <v>584</v>
      </c>
      <c r="H71" s="16" t="s">
        <v>585</v>
      </c>
      <c r="I71" s="23" t="s">
        <v>46</v>
      </c>
      <c r="J71" s="15" t="s">
        <v>77</v>
      </c>
      <c r="K71" s="15" t="s">
        <v>115</v>
      </c>
      <c r="L71" s="16" t="s">
        <v>586</v>
      </c>
      <c r="M71" s="24" t="s">
        <v>9</v>
      </c>
      <c r="N71" s="16" t="s">
        <v>117</v>
      </c>
      <c r="O71" s="15" t="s">
        <v>118</v>
      </c>
      <c r="P71" s="16"/>
    </row>
    <row r="72" spans="1:16" ht="60" x14ac:dyDescent="0.2">
      <c r="A72" s="15" t="s">
        <v>587</v>
      </c>
      <c r="B72" s="16" t="s">
        <v>21</v>
      </c>
      <c r="C72" s="15" t="s">
        <v>581</v>
      </c>
      <c r="D72" s="16" t="s">
        <v>588</v>
      </c>
      <c r="E72" s="16" t="s">
        <v>589</v>
      </c>
      <c r="F72" s="16" t="s">
        <v>590</v>
      </c>
      <c r="G72" s="16" t="s">
        <v>591</v>
      </c>
      <c r="H72" s="16" t="s">
        <v>592</v>
      </c>
      <c r="I72" s="25" t="s">
        <v>47</v>
      </c>
      <c r="J72" s="15" t="s">
        <v>82</v>
      </c>
      <c r="K72" s="15" t="s">
        <v>115</v>
      </c>
      <c r="L72" s="16" t="s">
        <v>593</v>
      </c>
      <c r="M72" s="24" t="s">
        <v>9</v>
      </c>
      <c r="N72" s="16" t="s">
        <v>117</v>
      </c>
      <c r="O72" s="15" t="s">
        <v>118</v>
      </c>
      <c r="P72" s="16" t="s">
        <v>264</v>
      </c>
    </row>
    <row r="73" spans="1:16" ht="45" x14ac:dyDescent="0.2">
      <c r="A73" s="15" t="s">
        <v>594</v>
      </c>
      <c r="B73" s="16" t="s">
        <v>21</v>
      </c>
      <c r="C73" s="15" t="s">
        <v>581</v>
      </c>
      <c r="D73" s="16" t="s">
        <v>595</v>
      </c>
      <c r="E73" s="16" t="s">
        <v>596</v>
      </c>
      <c r="F73" s="16" t="s">
        <v>533</v>
      </c>
      <c r="G73" s="16" t="s">
        <v>597</v>
      </c>
      <c r="H73" s="16" t="s">
        <v>598</v>
      </c>
      <c r="I73" s="23" t="s">
        <v>46</v>
      </c>
      <c r="J73" s="15" t="s">
        <v>77</v>
      </c>
      <c r="K73" s="15" t="s">
        <v>115</v>
      </c>
      <c r="L73" s="16" t="s">
        <v>599</v>
      </c>
      <c r="M73" s="24" t="s">
        <v>9</v>
      </c>
      <c r="N73" s="16" t="s">
        <v>117</v>
      </c>
      <c r="O73" s="15" t="s">
        <v>118</v>
      </c>
      <c r="P73" s="16"/>
    </row>
    <row r="74" spans="1:16" ht="45" x14ac:dyDescent="0.2">
      <c r="A74" s="15" t="s">
        <v>600</v>
      </c>
      <c r="B74" s="16" t="s">
        <v>21</v>
      </c>
      <c r="C74" s="15" t="s">
        <v>581</v>
      </c>
      <c r="D74" s="16" t="s">
        <v>601</v>
      </c>
      <c r="E74" s="16" t="s">
        <v>602</v>
      </c>
      <c r="F74" s="16" t="s">
        <v>603</v>
      </c>
      <c r="G74" s="16" t="s">
        <v>604</v>
      </c>
      <c r="H74" s="16" t="s">
        <v>605</v>
      </c>
      <c r="I74" s="23" t="s">
        <v>46</v>
      </c>
      <c r="J74" s="15" t="s">
        <v>77</v>
      </c>
      <c r="K74" s="15" t="s">
        <v>115</v>
      </c>
      <c r="L74" s="16" t="s">
        <v>606</v>
      </c>
      <c r="M74" s="24" t="s">
        <v>9</v>
      </c>
      <c r="N74" s="16" t="s">
        <v>117</v>
      </c>
      <c r="O74" s="15" t="s">
        <v>118</v>
      </c>
      <c r="P74" s="16"/>
    </row>
    <row r="75" spans="1:16" ht="60" x14ac:dyDescent="0.2">
      <c r="A75" s="15" t="s">
        <v>607</v>
      </c>
      <c r="B75" s="16" t="s">
        <v>21</v>
      </c>
      <c r="C75" s="15" t="s">
        <v>581</v>
      </c>
      <c r="D75" s="16" t="s">
        <v>608</v>
      </c>
      <c r="E75" s="16" t="s">
        <v>609</v>
      </c>
      <c r="F75" s="16" t="s">
        <v>610</v>
      </c>
      <c r="G75" s="16" t="s">
        <v>611</v>
      </c>
      <c r="H75" s="16" t="s">
        <v>612</v>
      </c>
      <c r="I75" s="25" t="s">
        <v>47</v>
      </c>
      <c r="J75" s="15" t="s">
        <v>77</v>
      </c>
      <c r="K75" s="15" t="s">
        <v>115</v>
      </c>
      <c r="L75" s="16" t="s">
        <v>613</v>
      </c>
      <c r="M75" s="24" t="s">
        <v>9</v>
      </c>
      <c r="N75" s="16" t="s">
        <v>117</v>
      </c>
      <c r="O75" s="15" t="s">
        <v>118</v>
      </c>
      <c r="P75" s="16" t="s">
        <v>308</v>
      </c>
    </row>
    <row r="76" spans="1:16" ht="30" x14ac:dyDescent="0.2">
      <c r="A76" s="15" t="s">
        <v>614</v>
      </c>
      <c r="B76" s="16" t="s">
        <v>21</v>
      </c>
      <c r="C76" s="15" t="s">
        <v>581</v>
      </c>
      <c r="D76" s="16" t="s">
        <v>615</v>
      </c>
      <c r="E76" s="16" t="s">
        <v>616</v>
      </c>
      <c r="F76" s="16" t="s">
        <v>617</v>
      </c>
      <c r="G76" s="16" t="s">
        <v>618</v>
      </c>
      <c r="H76" s="16" t="s">
        <v>619</v>
      </c>
      <c r="I76" s="25" t="s">
        <v>47</v>
      </c>
      <c r="J76" s="15" t="s">
        <v>77</v>
      </c>
      <c r="K76" s="15" t="s">
        <v>115</v>
      </c>
      <c r="L76" s="16" t="s">
        <v>620</v>
      </c>
      <c r="M76" s="24" t="s">
        <v>9</v>
      </c>
      <c r="N76" s="16" t="s">
        <v>117</v>
      </c>
      <c r="O76" s="15" t="s">
        <v>118</v>
      </c>
      <c r="P76" s="16"/>
    </row>
    <row r="77" spans="1:16" ht="60" x14ac:dyDescent="0.2">
      <c r="A77" s="15" t="s">
        <v>621</v>
      </c>
      <c r="B77" s="16" t="s">
        <v>21</v>
      </c>
      <c r="C77" s="15" t="s">
        <v>581</v>
      </c>
      <c r="D77" s="16" t="s">
        <v>622</v>
      </c>
      <c r="E77" s="16" t="s">
        <v>623</v>
      </c>
      <c r="F77" s="16" t="s">
        <v>624</v>
      </c>
      <c r="G77" s="16" t="s">
        <v>618</v>
      </c>
      <c r="H77" s="16" t="s">
        <v>619</v>
      </c>
      <c r="I77" s="28" t="s">
        <v>48</v>
      </c>
      <c r="J77" s="15" t="s">
        <v>77</v>
      </c>
      <c r="K77" s="15" t="s">
        <v>115</v>
      </c>
      <c r="L77" s="16" t="s">
        <v>625</v>
      </c>
      <c r="M77" s="24" t="s">
        <v>9</v>
      </c>
      <c r="N77" s="16" t="s">
        <v>117</v>
      </c>
      <c r="O77" s="15" t="s">
        <v>118</v>
      </c>
      <c r="P77" s="16" t="s">
        <v>308</v>
      </c>
    </row>
    <row r="78" spans="1:16" ht="60" x14ac:dyDescent="0.2">
      <c r="A78" s="15" t="s">
        <v>626</v>
      </c>
      <c r="B78" s="16" t="s">
        <v>21</v>
      </c>
      <c r="C78" s="15" t="s">
        <v>581</v>
      </c>
      <c r="D78" s="16" t="s">
        <v>627</v>
      </c>
      <c r="E78" s="16" t="s">
        <v>628</v>
      </c>
      <c r="F78" s="16" t="s">
        <v>629</v>
      </c>
      <c r="G78" s="16" t="s">
        <v>630</v>
      </c>
      <c r="H78" s="16" t="s">
        <v>631</v>
      </c>
      <c r="I78" s="28" t="s">
        <v>48</v>
      </c>
      <c r="J78" s="15" t="s">
        <v>77</v>
      </c>
      <c r="K78" s="15" t="s">
        <v>115</v>
      </c>
      <c r="L78" s="16" t="s">
        <v>632</v>
      </c>
      <c r="M78" s="24" t="s">
        <v>9</v>
      </c>
      <c r="N78" s="16" t="s">
        <v>117</v>
      </c>
      <c r="O78" s="15" t="s">
        <v>118</v>
      </c>
      <c r="P78" s="16"/>
    </row>
    <row r="79" spans="1:16" ht="90" x14ac:dyDescent="0.2">
      <c r="A79" s="15" t="s">
        <v>633</v>
      </c>
      <c r="B79" s="16" t="s">
        <v>21</v>
      </c>
      <c r="C79" s="15" t="s">
        <v>581</v>
      </c>
      <c r="D79" s="16" t="s">
        <v>634</v>
      </c>
      <c r="E79" s="16" t="s">
        <v>635</v>
      </c>
      <c r="F79" s="16" t="s">
        <v>636</v>
      </c>
      <c r="G79" s="16" t="s">
        <v>630</v>
      </c>
      <c r="H79" s="16" t="s">
        <v>637</v>
      </c>
      <c r="I79" s="28" t="s">
        <v>48</v>
      </c>
      <c r="J79" s="15" t="s">
        <v>77</v>
      </c>
      <c r="K79" s="15" t="s">
        <v>115</v>
      </c>
      <c r="L79" s="16" t="s">
        <v>638</v>
      </c>
      <c r="M79" s="24" t="s">
        <v>9</v>
      </c>
      <c r="N79" s="16" t="s">
        <v>117</v>
      </c>
      <c r="O79" s="15" t="s">
        <v>118</v>
      </c>
      <c r="P79" s="16" t="s">
        <v>639</v>
      </c>
    </row>
    <row r="80" spans="1:16" ht="30" x14ac:dyDescent="0.2">
      <c r="A80" s="15" t="s">
        <v>640</v>
      </c>
      <c r="B80" s="16" t="s">
        <v>21</v>
      </c>
      <c r="C80" s="15" t="s">
        <v>581</v>
      </c>
      <c r="D80" s="16" t="s">
        <v>641</v>
      </c>
      <c r="E80" s="16" t="s">
        <v>231</v>
      </c>
      <c r="F80" s="16" t="s">
        <v>642</v>
      </c>
      <c r="G80" s="16" t="s">
        <v>630</v>
      </c>
      <c r="H80" s="16" t="s">
        <v>643</v>
      </c>
      <c r="I80" s="25" t="s">
        <v>47</v>
      </c>
      <c r="J80" s="15" t="s">
        <v>77</v>
      </c>
      <c r="K80" s="15" t="s">
        <v>115</v>
      </c>
      <c r="L80" s="16" t="s">
        <v>644</v>
      </c>
      <c r="M80" s="24" t="s">
        <v>9</v>
      </c>
      <c r="N80" s="16" t="s">
        <v>117</v>
      </c>
      <c r="O80" s="15" t="s">
        <v>118</v>
      </c>
      <c r="P80" s="16" t="s">
        <v>645</v>
      </c>
    </row>
    <row r="81" spans="1:16" ht="60" x14ac:dyDescent="0.2">
      <c r="A81" s="15" t="s">
        <v>646</v>
      </c>
      <c r="B81" s="16" t="s">
        <v>21</v>
      </c>
      <c r="C81" s="15" t="s">
        <v>458</v>
      </c>
      <c r="D81" s="16" t="s">
        <v>647</v>
      </c>
      <c r="E81" s="16" t="s">
        <v>648</v>
      </c>
      <c r="F81" s="16" t="s">
        <v>649</v>
      </c>
      <c r="G81" s="16" t="s">
        <v>650</v>
      </c>
      <c r="H81" s="16" t="s">
        <v>651</v>
      </c>
      <c r="I81" s="23" t="s">
        <v>46</v>
      </c>
      <c r="J81" s="15" t="s">
        <v>77</v>
      </c>
      <c r="K81" s="15" t="s">
        <v>115</v>
      </c>
      <c r="L81" s="16" t="s">
        <v>652</v>
      </c>
      <c r="M81" s="24" t="s">
        <v>9</v>
      </c>
      <c r="N81" s="16" t="s">
        <v>117</v>
      </c>
      <c r="O81" s="15" t="s">
        <v>118</v>
      </c>
      <c r="P81" s="16" t="s">
        <v>308</v>
      </c>
    </row>
    <row r="82" spans="1:16" ht="45" x14ac:dyDescent="0.2">
      <c r="A82" s="15" t="s">
        <v>653</v>
      </c>
      <c r="B82" s="16" t="s">
        <v>21</v>
      </c>
      <c r="C82" s="15" t="s">
        <v>458</v>
      </c>
      <c r="D82" s="16" t="s">
        <v>654</v>
      </c>
      <c r="E82" s="16" t="s">
        <v>655</v>
      </c>
      <c r="F82" s="16" t="s">
        <v>649</v>
      </c>
      <c r="G82" s="16" t="s">
        <v>656</v>
      </c>
      <c r="H82" s="16" t="s">
        <v>657</v>
      </c>
      <c r="I82" s="27" t="s">
        <v>49</v>
      </c>
      <c r="J82" s="15" t="s">
        <v>77</v>
      </c>
      <c r="K82" s="15" t="s">
        <v>115</v>
      </c>
      <c r="L82" s="16" t="s">
        <v>658</v>
      </c>
      <c r="M82" s="24" t="s">
        <v>9</v>
      </c>
      <c r="N82" s="16" t="s">
        <v>117</v>
      </c>
      <c r="O82" s="15" t="s">
        <v>118</v>
      </c>
      <c r="P82" s="16" t="s">
        <v>505</v>
      </c>
    </row>
    <row r="83" spans="1:16" ht="45" x14ac:dyDescent="0.2">
      <c r="A83" s="15" t="s">
        <v>659</v>
      </c>
      <c r="B83" s="16" t="s">
        <v>23</v>
      </c>
      <c r="C83" s="15" t="s">
        <v>660</v>
      </c>
      <c r="D83" s="16" t="s">
        <v>661</v>
      </c>
      <c r="E83" s="16" t="s">
        <v>662</v>
      </c>
      <c r="F83" s="16" t="s">
        <v>663</v>
      </c>
      <c r="G83" s="16" t="s">
        <v>664</v>
      </c>
      <c r="H83" s="16" t="s">
        <v>665</v>
      </c>
      <c r="I83" s="23" t="s">
        <v>46</v>
      </c>
      <c r="J83" s="15" t="s">
        <v>77</v>
      </c>
      <c r="K83" s="15" t="s">
        <v>115</v>
      </c>
      <c r="L83" s="16" t="s">
        <v>666</v>
      </c>
      <c r="M83" s="24" t="s">
        <v>9</v>
      </c>
      <c r="N83" s="16" t="s">
        <v>117</v>
      </c>
      <c r="O83" s="15" t="s">
        <v>118</v>
      </c>
      <c r="P83" s="16"/>
    </row>
    <row r="84" spans="1:16" ht="60" x14ac:dyDescent="0.2">
      <c r="A84" s="15" t="s">
        <v>667</v>
      </c>
      <c r="B84" s="16" t="s">
        <v>23</v>
      </c>
      <c r="C84" s="15" t="s">
        <v>660</v>
      </c>
      <c r="D84" s="16" t="s">
        <v>668</v>
      </c>
      <c r="E84" s="16" t="s">
        <v>669</v>
      </c>
      <c r="F84" s="16" t="s">
        <v>670</v>
      </c>
      <c r="G84" s="16" t="s">
        <v>671</v>
      </c>
      <c r="H84" s="16" t="s">
        <v>672</v>
      </c>
      <c r="I84" s="28" t="s">
        <v>48</v>
      </c>
      <c r="J84" s="15" t="s">
        <v>77</v>
      </c>
      <c r="K84" s="15" t="s">
        <v>115</v>
      </c>
      <c r="L84" s="16" t="s">
        <v>673</v>
      </c>
      <c r="M84" s="24" t="s">
        <v>9</v>
      </c>
      <c r="N84" s="16" t="s">
        <v>117</v>
      </c>
      <c r="O84" s="15" t="s">
        <v>118</v>
      </c>
      <c r="P84" s="16"/>
    </row>
    <row r="85" spans="1:16" ht="30" x14ac:dyDescent="0.2">
      <c r="A85" s="15" t="s">
        <v>674</v>
      </c>
      <c r="B85" s="16" t="s">
        <v>23</v>
      </c>
      <c r="C85" s="15" t="s">
        <v>660</v>
      </c>
      <c r="D85" s="16" t="s">
        <v>675</v>
      </c>
      <c r="E85" s="16" t="s">
        <v>676</v>
      </c>
      <c r="F85" s="16" t="s">
        <v>677</v>
      </c>
      <c r="G85" s="16" t="s">
        <v>678</v>
      </c>
      <c r="H85" s="16" t="s">
        <v>679</v>
      </c>
      <c r="I85" s="27" t="s">
        <v>49</v>
      </c>
      <c r="J85" s="15" t="s">
        <v>77</v>
      </c>
      <c r="K85" s="15" t="s">
        <v>115</v>
      </c>
      <c r="L85" s="16" t="s">
        <v>680</v>
      </c>
      <c r="M85" s="24" t="s">
        <v>9</v>
      </c>
      <c r="N85" s="16" t="s">
        <v>117</v>
      </c>
      <c r="O85" s="15" t="s">
        <v>118</v>
      </c>
      <c r="P85" s="16"/>
    </row>
    <row r="86" spans="1:16" ht="60" x14ac:dyDescent="0.2">
      <c r="A86" s="15" t="s">
        <v>681</v>
      </c>
      <c r="B86" s="16" t="s">
        <v>23</v>
      </c>
      <c r="C86" s="15" t="s">
        <v>660</v>
      </c>
      <c r="D86" s="16" t="s">
        <v>682</v>
      </c>
      <c r="E86" s="16" t="s">
        <v>683</v>
      </c>
      <c r="F86" s="16" t="s">
        <v>684</v>
      </c>
      <c r="G86" s="16" t="s">
        <v>685</v>
      </c>
      <c r="H86" s="16" t="s">
        <v>686</v>
      </c>
      <c r="I86" s="23" t="s">
        <v>46</v>
      </c>
      <c r="J86" s="15" t="s">
        <v>77</v>
      </c>
      <c r="K86" s="15" t="s">
        <v>115</v>
      </c>
      <c r="L86" s="16" t="s">
        <v>687</v>
      </c>
      <c r="M86" s="24" t="s">
        <v>9</v>
      </c>
      <c r="N86" s="16" t="s">
        <v>117</v>
      </c>
      <c r="O86" s="15" t="s">
        <v>118</v>
      </c>
      <c r="P86" s="16" t="s">
        <v>308</v>
      </c>
    </row>
    <row r="87" spans="1:16" ht="30" x14ac:dyDescent="0.2">
      <c r="A87" s="15" t="s">
        <v>688</v>
      </c>
      <c r="B87" s="16" t="s">
        <v>23</v>
      </c>
      <c r="C87" s="15" t="s">
        <v>660</v>
      </c>
      <c r="D87" s="16" t="s">
        <v>689</v>
      </c>
      <c r="E87" s="16" t="s">
        <v>669</v>
      </c>
      <c r="F87" s="16" t="s">
        <v>690</v>
      </c>
      <c r="G87" s="16" t="s">
        <v>691</v>
      </c>
      <c r="H87" s="16" t="s">
        <v>692</v>
      </c>
      <c r="I87" s="23" t="s">
        <v>46</v>
      </c>
      <c r="J87" s="15" t="s">
        <v>82</v>
      </c>
      <c r="K87" s="15" t="s">
        <v>115</v>
      </c>
      <c r="L87" s="16" t="s">
        <v>693</v>
      </c>
      <c r="M87" s="24" t="s">
        <v>9</v>
      </c>
      <c r="N87" s="16" t="s">
        <v>117</v>
      </c>
      <c r="O87" s="15" t="s">
        <v>118</v>
      </c>
      <c r="P87" s="16"/>
    </row>
    <row r="88" spans="1:16" ht="30" x14ac:dyDescent="0.2">
      <c r="A88" s="15" t="s">
        <v>694</v>
      </c>
      <c r="B88" s="16" t="s">
        <v>23</v>
      </c>
      <c r="C88" s="15" t="s">
        <v>660</v>
      </c>
      <c r="D88" s="16" t="s">
        <v>695</v>
      </c>
      <c r="E88" s="16" t="s">
        <v>398</v>
      </c>
      <c r="F88" s="16" t="s">
        <v>399</v>
      </c>
      <c r="G88" s="16" t="s">
        <v>678</v>
      </c>
      <c r="H88" s="16" t="s">
        <v>696</v>
      </c>
      <c r="I88" s="27" t="s">
        <v>49</v>
      </c>
      <c r="J88" s="15" t="s">
        <v>77</v>
      </c>
      <c r="K88" s="15" t="s">
        <v>115</v>
      </c>
      <c r="L88" s="16" t="s">
        <v>697</v>
      </c>
      <c r="M88" s="24" t="s">
        <v>9</v>
      </c>
      <c r="N88" s="16" t="s">
        <v>117</v>
      </c>
      <c r="O88" s="15" t="s">
        <v>118</v>
      </c>
      <c r="P88" s="16"/>
    </row>
    <row r="89" spans="1:16" ht="60" x14ac:dyDescent="0.2">
      <c r="A89" s="15" t="s">
        <v>698</v>
      </c>
      <c r="B89" s="16" t="s">
        <v>23</v>
      </c>
      <c r="C89" s="15" t="s">
        <v>660</v>
      </c>
      <c r="D89" s="16" t="s">
        <v>699</v>
      </c>
      <c r="E89" s="16" t="s">
        <v>700</v>
      </c>
      <c r="F89" s="16" t="s">
        <v>701</v>
      </c>
      <c r="G89" s="16" t="s">
        <v>702</v>
      </c>
      <c r="H89" s="16" t="s">
        <v>703</v>
      </c>
      <c r="I89" s="23" t="s">
        <v>46</v>
      </c>
      <c r="J89" s="15" t="s">
        <v>82</v>
      </c>
      <c r="K89" s="15" t="s">
        <v>115</v>
      </c>
      <c r="L89" s="16" t="s">
        <v>704</v>
      </c>
      <c r="M89" s="24" t="s">
        <v>9</v>
      </c>
      <c r="N89" s="16" t="s">
        <v>117</v>
      </c>
      <c r="O89" s="15" t="s">
        <v>118</v>
      </c>
      <c r="P89" s="16" t="s">
        <v>308</v>
      </c>
    </row>
    <row r="90" spans="1:16" ht="75" x14ac:dyDescent="0.2">
      <c r="A90" s="15" t="s">
        <v>705</v>
      </c>
      <c r="B90" s="16" t="s">
        <v>23</v>
      </c>
      <c r="C90" s="15" t="s">
        <v>660</v>
      </c>
      <c r="D90" s="16" t="s">
        <v>706</v>
      </c>
      <c r="E90" s="16" t="s">
        <v>707</v>
      </c>
      <c r="F90" s="16" t="s">
        <v>708</v>
      </c>
      <c r="G90" s="16" t="s">
        <v>709</v>
      </c>
      <c r="H90" s="16" t="s">
        <v>710</v>
      </c>
      <c r="I90" s="25" t="s">
        <v>47</v>
      </c>
      <c r="J90" s="15" t="s">
        <v>77</v>
      </c>
      <c r="K90" s="15" t="s">
        <v>57</v>
      </c>
      <c r="L90" s="16" t="s">
        <v>711</v>
      </c>
      <c r="M90" s="24" t="s">
        <v>9</v>
      </c>
      <c r="N90" s="16" t="s">
        <v>117</v>
      </c>
      <c r="O90" s="15" t="s">
        <v>118</v>
      </c>
      <c r="P90" s="16" t="s">
        <v>712</v>
      </c>
    </row>
    <row r="91" spans="1:16" ht="45" x14ac:dyDescent="0.2">
      <c r="A91" s="15" t="s">
        <v>713</v>
      </c>
      <c r="B91" s="16" t="s">
        <v>25</v>
      </c>
      <c r="C91" s="15" t="s">
        <v>714</v>
      </c>
      <c r="D91" s="16" t="s">
        <v>715</v>
      </c>
      <c r="E91" s="16" t="s">
        <v>716</v>
      </c>
      <c r="F91" s="16" t="s">
        <v>533</v>
      </c>
      <c r="G91" s="16" t="s">
        <v>717</v>
      </c>
      <c r="H91" s="16" t="s">
        <v>718</v>
      </c>
      <c r="I91" s="23" t="s">
        <v>46</v>
      </c>
      <c r="J91" s="15" t="s">
        <v>77</v>
      </c>
      <c r="K91" s="15" t="s">
        <v>115</v>
      </c>
      <c r="L91" s="16" t="s">
        <v>719</v>
      </c>
      <c r="M91" s="24" t="s">
        <v>9</v>
      </c>
      <c r="N91" s="16" t="s">
        <v>117</v>
      </c>
      <c r="O91" s="15" t="s">
        <v>118</v>
      </c>
      <c r="P91" s="16"/>
    </row>
    <row r="92" spans="1:16" ht="105" x14ac:dyDescent="0.2">
      <c r="A92" s="15" t="s">
        <v>720</v>
      </c>
      <c r="B92" s="16" t="s">
        <v>25</v>
      </c>
      <c r="C92" s="15" t="s">
        <v>714</v>
      </c>
      <c r="D92" s="16" t="s">
        <v>721</v>
      </c>
      <c r="E92" s="16" t="s">
        <v>722</v>
      </c>
      <c r="F92" s="16" t="s">
        <v>723</v>
      </c>
      <c r="G92" s="16" t="s">
        <v>724</v>
      </c>
      <c r="H92" s="16" t="s">
        <v>725</v>
      </c>
      <c r="I92" s="23" t="s">
        <v>46</v>
      </c>
      <c r="J92" s="15" t="s">
        <v>77</v>
      </c>
      <c r="K92" s="15" t="s">
        <v>115</v>
      </c>
      <c r="L92" s="16" t="s">
        <v>726</v>
      </c>
      <c r="M92" s="24" t="s">
        <v>9</v>
      </c>
      <c r="N92" s="16" t="s">
        <v>117</v>
      </c>
      <c r="O92" s="15" t="s">
        <v>118</v>
      </c>
      <c r="P92" s="16" t="s">
        <v>186</v>
      </c>
    </row>
    <row r="93" spans="1:16" ht="105" x14ac:dyDescent="0.2">
      <c r="A93" s="15" t="s">
        <v>727</v>
      </c>
      <c r="B93" s="16" t="s">
        <v>25</v>
      </c>
      <c r="C93" s="15" t="s">
        <v>714</v>
      </c>
      <c r="D93" s="16" t="s">
        <v>728</v>
      </c>
      <c r="E93" s="16" t="s">
        <v>722</v>
      </c>
      <c r="F93" s="16" t="s">
        <v>729</v>
      </c>
      <c r="G93" s="16" t="s">
        <v>730</v>
      </c>
      <c r="H93" s="16" t="s">
        <v>731</v>
      </c>
      <c r="I93" s="23" t="s">
        <v>46</v>
      </c>
      <c r="J93" s="15" t="s">
        <v>77</v>
      </c>
      <c r="K93" s="15" t="s">
        <v>57</v>
      </c>
      <c r="L93" s="16" t="s">
        <v>732</v>
      </c>
      <c r="M93" s="15" t="s">
        <v>12</v>
      </c>
      <c r="N93" s="16"/>
      <c r="O93" s="15"/>
      <c r="P93" s="16" t="s">
        <v>528</v>
      </c>
    </row>
    <row r="94" spans="1:16" ht="60" x14ac:dyDescent="0.2">
      <c r="A94" s="15" t="s">
        <v>733</v>
      </c>
      <c r="B94" s="16" t="s">
        <v>25</v>
      </c>
      <c r="C94" s="15" t="s">
        <v>714</v>
      </c>
      <c r="D94" s="16" t="s">
        <v>734</v>
      </c>
      <c r="E94" s="16" t="s">
        <v>735</v>
      </c>
      <c r="F94" s="16" t="s">
        <v>736</v>
      </c>
      <c r="G94" s="16" t="s">
        <v>737</v>
      </c>
      <c r="H94" s="16" t="s">
        <v>738</v>
      </c>
      <c r="I94" s="23" t="s">
        <v>46</v>
      </c>
      <c r="J94" s="15" t="s">
        <v>77</v>
      </c>
      <c r="K94" s="15" t="s">
        <v>57</v>
      </c>
      <c r="L94" s="16" t="s">
        <v>432</v>
      </c>
      <c r="M94" s="15" t="s">
        <v>12</v>
      </c>
      <c r="N94" s="16"/>
      <c r="O94" s="15"/>
      <c r="P94" s="16" t="s">
        <v>528</v>
      </c>
    </row>
    <row r="95" spans="1:16" ht="60" x14ac:dyDescent="0.2">
      <c r="A95" s="15" t="s">
        <v>739</v>
      </c>
      <c r="B95" s="16" t="s">
        <v>25</v>
      </c>
      <c r="C95" s="15" t="s">
        <v>714</v>
      </c>
      <c r="D95" s="16" t="s">
        <v>740</v>
      </c>
      <c r="E95" s="16" t="s">
        <v>741</v>
      </c>
      <c r="F95" s="16" t="s">
        <v>742</v>
      </c>
      <c r="G95" s="16" t="s">
        <v>743</v>
      </c>
      <c r="H95" s="16" t="s">
        <v>744</v>
      </c>
      <c r="I95" s="27" t="s">
        <v>49</v>
      </c>
      <c r="J95" s="15" t="s">
        <v>82</v>
      </c>
      <c r="K95" s="15" t="s">
        <v>57</v>
      </c>
      <c r="L95" s="16" t="s">
        <v>432</v>
      </c>
      <c r="M95" s="15" t="s">
        <v>12</v>
      </c>
      <c r="N95" s="16"/>
      <c r="O95" s="15"/>
      <c r="P95" s="16" t="s">
        <v>528</v>
      </c>
    </row>
    <row r="96" spans="1:16" ht="60" x14ac:dyDescent="0.2">
      <c r="A96" s="15" t="s">
        <v>745</v>
      </c>
      <c r="B96" s="16" t="s">
        <v>25</v>
      </c>
      <c r="C96" s="15" t="s">
        <v>714</v>
      </c>
      <c r="D96" s="16" t="s">
        <v>746</v>
      </c>
      <c r="E96" s="16" t="s">
        <v>741</v>
      </c>
      <c r="F96" s="16" t="s">
        <v>747</v>
      </c>
      <c r="G96" s="16" t="s">
        <v>748</v>
      </c>
      <c r="H96" s="16" t="s">
        <v>749</v>
      </c>
      <c r="I96" s="25" t="s">
        <v>47</v>
      </c>
      <c r="J96" s="15" t="s">
        <v>82</v>
      </c>
      <c r="K96" s="15" t="s">
        <v>57</v>
      </c>
      <c r="L96" s="16" t="s">
        <v>432</v>
      </c>
      <c r="M96" s="15" t="s">
        <v>12</v>
      </c>
      <c r="N96" s="16"/>
      <c r="O96" s="15"/>
      <c r="P96" s="16" t="s">
        <v>528</v>
      </c>
    </row>
    <row r="97" spans="1:16" ht="60" x14ac:dyDescent="0.2">
      <c r="A97" s="15" t="s">
        <v>750</v>
      </c>
      <c r="B97" s="16" t="s">
        <v>25</v>
      </c>
      <c r="C97" s="15" t="s">
        <v>714</v>
      </c>
      <c r="D97" s="16" t="s">
        <v>751</v>
      </c>
      <c r="E97" s="16" t="s">
        <v>752</v>
      </c>
      <c r="F97" s="16" t="s">
        <v>753</v>
      </c>
      <c r="G97" s="16" t="s">
        <v>754</v>
      </c>
      <c r="H97" s="16" t="s">
        <v>755</v>
      </c>
      <c r="I97" s="23" t="s">
        <v>46</v>
      </c>
      <c r="J97" s="15" t="s">
        <v>77</v>
      </c>
      <c r="K97" s="15" t="s">
        <v>115</v>
      </c>
      <c r="L97" s="16" t="s">
        <v>756</v>
      </c>
      <c r="M97" s="24" t="s">
        <v>9</v>
      </c>
      <c r="N97" s="16" t="s">
        <v>117</v>
      </c>
      <c r="O97" s="15" t="s">
        <v>118</v>
      </c>
      <c r="P97" s="16" t="s">
        <v>308</v>
      </c>
    </row>
    <row r="98" spans="1:16" ht="60" x14ac:dyDescent="0.2">
      <c r="A98" s="15" t="s">
        <v>757</v>
      </c>
      <c r="B98" s="16" t="s">
        <v>25</v>
      </c>
      <c r="C98" s="15" t="s">
        <v>714</v>
      </c>
      <c r="D98" s="16" t="s">
        <v>758</v>
      </c>
      <c r="E98" s="16" t="s">
        <v>759</v>
      </c>
      <c r="F98" s="16" t="s">
        <v>760</v>
      </c>
      <c r="G98" s="16" t="s">
        <v>761</v>
      </c>
      <c r="H98" s="16" t="s">
        <v>762</v>
      </c>
      <c r="I98" s="23" t="s">
        <v>46</v>
      </c>
      <c r="J98" s="15" t="s">
        <v>82</v>
      </c>
      <c r="K98" s="15" t="s">
        <v>115</v>
      </c>
      <c r="L98" s="16" t="s">
        <v>763</v>
      </c>
      <c r="M98" s="24" t="s">
        <v>9</v>
      </c>
      <c r="N98" s="16" t="s">
        <v>117</v>
      </c>
      <c r="O98" s="15" t="s">
        <v>118</v>
      </c>
      <c r="P98" s="16" t="s">
        <v>264</v>
      </c>
    </row>
    <row r="99" spans="1:16" ht="60" x14ac:dyDescent="0.2">
      <c r="A99" s="15" t="s">
        <v>65</v>
      </c>
      <c r="B99" s="16" t="s">
        <v>25</v>
      </c>
      <c r="C99" s="15" t="s">
        <v>714</v>
      </c>
      <c r="D99" s="16" t="s">
        <v>764</v>
      </c>
      <c r="E99" s="16" t="s">
        <v>765</v>
      </c>
      <c r="F99" s="16" t="s">
        <v>766</v>
      </c>
      <c r="G99" s="16" t="s">
        <v>767</v>
      </c>
      <c r="H99" s="16" t="s">
        <v>768</v>
      </c>
      <c r="I99" s="27" t="s">
        <v>49</v>
      </c>
      <c r="J99" s="15" t="s">
        <v>77</v>
      </c>
      <c r="K99" s="15" t="s">
        <v>115</v>
      </c>
      <c r="L99" s="16" t="s">
        <v>769</v>
      </c>
      <c r="M99" s="26" t="s">
        <v>10</v>
      </c>
      <c r="N99" s="16" t="s">
        <v>117</v>
      </c>
      <c r="O99" s="15" t="s">
        <v>118</v>
      </c>
      <c r="P99" s="16" t="s">
        <v>770</v>
      </c>
    </row>
    <row r="100" spans="1:16" ht="60" x14ac:dyDescent="0.2">
      <c r="A100" s="15" t="s">
        <v>771</v>
      </c>
      <c r="B100" s="16" t="s">
        <v>25</v>
      </c>
      <c r="C100" s="15" t="s">
        <v>772</v>
      </c>
      <c r="D100" s="16" t="s">
        <v>773</v>
      </c>
      <c r="E100" s="16" t="s">
        <v>774</v>
      </c>
      <c r="F100" s="16" t="s">
        <v>775</v>
      </c>
      <c r="G100" s="16" t="s">
        <v>776</v>
      </c>
      <c r="H100" s="16" t="s">
        <v>777</v>
      </c>
      <c r="I100" s="23" t="s">
        <v>46</v>
      </c>
      <c r="J100" s="15" t="s">
        <v>77</v>
      </c>
      <c r="K100" s="15" t="s">
        <v>57</v>
      </c>
      <c r="L100" s="16" t="s">
        <v>778</v>
      </c>
      <c r="M100" s="15" t="s">
        <v>12</v>
      </c>
      <c r="N100" s="16"/>
      <c r="O100" s="15"/>
      <c r="P100" s="16" t="s">
        <v>528</v>
      </c>
    </row>
    <row r="101" spans="1:16" ht="90" x14ac:dyDescent="0.2">
      <c r="A101" s="15" t="s">
        <v>779</v>
      </c>
      <c r="B101" s="16" t="s">
        <v>25</v>
      </c>
      <c r="C101" s="15" t="s">
        <v>772</v>
      </c>
      <c r="D101" s="16" t="s">
        <v>780</v>
      </c>
      <c r="E101" s="16" t="s">
        <v>781</v>
      </c>
      <c r="F101" s="16" t="s">
        <v>782</v>
      </c>
      <c r="G101" s="16" t="s">
        <v>783</v>
      </c>
      <c r="H101" s="16" t="s">
        <v>784</v>
      </c>
      <c r="I101" s="23" t="s">
        <v>46</v>
      </c>
      <c r="J101" s="15" t="s">
        <v>82</v>
      </c>
      <c r="K101" s="15" t="s">
        <v>115</v>
      </c>
      <c r="L101" s="16" t="s">
        <v>785</v>
      </c>
      <c r="M101" s="24" t="s">
        <v>9</v>
      </c>
      <c r="N101" s="16" t="s">
        <v>117</v>
      </c>
      <c r="O101" s="15" t="s">
        <v>118</v>
      </c>
      <c r="P101" s="16"/>
    </row>
    <row r="102" spans="1:16" ht="105" x14ac:dyDescent="0.2">
      <c r="A102" s="15" t="s">
        <v>786</v>
      </c>
      <c r="B102" s="16" t="s">
        <v>27</v>
      </c>
      <c r="C102" s="15" t="s">
        <v>787</v>
      </c>
      <c r="D102" s="16" t="s">
        <v>788</v>
      </c>
      <c r="E102" s="16" t="s">
        <v>789</v>
      </c>
      <c r="F102" s="16" t="s">
        <v>790</v>
      </c>
      <c r="G102" s="16" t="s">
        <v>791</v>
      </c>
      <c r="H102" s="16" t="s">
        <v>792</v>
      </c>
      <c r="I102" s="23" t="s">
        <v>46</v>
      </c>
      <c r="J102" s="15" t="s">
        <v>77</v>
      </c>
      <c r="K102" s="15" t="s">
        <v>57</v>
      </c>
      <c r="L102" s="16" t="s">
        <v>793</v>
      </c>
      <c r="M102" s="24" t="s">
        <v>9</v>
      </c>
      <c r="N102" s="16" t="s">
        <v>117</v>
      </c>
      <c r="O102" s="15" t="s">
        <v>118</v>
      </c>
      <c r="P102" s="16" t="s">
        <v>520</v>
      </c>
    </row>
    <row r="103" spans="1:16" ht="45" x14ac:dyDescent="0.2">
      <c r="A103" s="15" t="s">
        <v>794</v>
      </c>
      <c r="B103" s="16" t="s">
        <v>27</v>
      </c>
      <c r="C103" s="15" t="s">
        <v>787</v>
      </c>
      <c r="D103" s="16" t="s">
        <v>795</v>
      </c>
      <c r="E103" s="16" t="s">
        <v>252</v>
      </c>
      <c r="F103" s="16" t="s">
        <v>796</v>
      </c>
      <c r="G103" s="16" t="s">
        <v>797</v>
      </c>
      <c r="H103" s="16" t="s">
        <v>798</v>
      </c>
      <c r="I103" s="25" t="s">
        <v>47</v>
      </c>
      <c r="J103" s="15" t="s">
        <v>77</v>
      </c>
      <c r="K103" s="15" t="s">
        <v>115</v>
      </c>
      <c r="L103" s="16" t="s">
        <v>799</v>
      </c>
      <c r="M103" s="24" t="s">
        <v>9</v>
      </c>
      <c r="N103" s="16" t="s">
        <v>117</v>
      </c>
      <c r="O103" s="15" t="s">
        <v>118</v>
      </c>
      <c r="P103" s="16"/>
    </row>
    <row r="104" spans="1:16" ht="45" x14ac:dyDescent="0.2">
      <c r="A104" s="15" t="s">
        <v>800</v>
      </c>
      <c r="B104" s="16" t="s">
        <v>27</v>
      </c>
      <c r="C104" s="15" t="s">
        <v>787</v>
      </c>
      <c r="D104" s="16" t="s">
        <v>801</v>
      </c>
      <c r="E104" s="16" t="s">
        <v>802</v>
      </c>
      <c r="F104" s="16" t="s">
        <v>803</v>
      </c>
      <c r="G104" s="16" t="s">
        <v>804</v>
      </c>
      <c r="H104" s="16" t="s">
        <v>805</v>
      </c>
      <c r="I104" s="23" t="s">
        <v>46</v>
      </c>
      <c r="J104" s="15" t="s">
        <v>77</v>
      </c>
      <c r="K104" s="15" t="s">
        <v>115</v>
      </c>
      <c r="L104" s="16" t="s">
        <v>806</v>
      </c>
      <c r="M104" s="24" t="s">
        <v>9</v>
      </c>
      <c r="N104" s="16" t="s">
        <v>117</v>
      </c>
      <c r="O104" s="15" t="s">
        <v>118</v>
      </c>
      <c r="P104" s="16"/>
    </row>
    <row r="105" spans="1:16" ht="30" x14ac:dyDescent="0.2">
      <c r="A105" s="15" t="s">
        <v>807</v>
      </c>
      <c r="B105" s="16" t="s">
        <v>27</v>
      </c>
      <c r="C105" s="15" t="s">
        <v>787</v>
      </c>
      <c r="D105" s="16" t="s">
        <v>808</v>
      </c>
      <c r="E105" s="16" t="s">
        <v>809</v>
      </c>
      <c r="F105" s="16" t="s">
        <v>810</v>
      </c>
      <c r="G105" s="16" t="s">
        <v>811</v>
      </c>
      <c r="H105" s="16" t="s">
        <v>812</v>
      </c>
      <c r="I105" s="23" t="s">
        <v>46</v>
      </c>
      <c r="J105" s="15" t="s">
        <v>77</v>
      </c>
      <c r="K105" s="15" t="s">
        <v>115</v>
      </c>
      <c r="L105" s="16" t="s">
        <v>813</v>
      </c>
      <c r="M105" s="24" t="s">
        <v>9</v>
      </c>
      <c r="N105" s="16" t="s">
        <v>117</v>
      </c>
      <c r="O105" s="15" t="s">
        <v>118</v>
      </c>
      <c r="P105" s="16"/>
    </row>
    <row r="106" spans="1:16" ht="60" x14ac:dyDescent="0.2">
      <c r="A106" s="15" t="s">
        <v>814</v>
      </c>
      <c r="B106" s="16" t="s">
        <v>27</v>
      </c>
      <c r="C106" s="15" t="s">
        <v>787</v>
      </c>
      <c r="D106" s="16" t="s">
        <v>815</v>
      </c>
      <c r="E106" s="16" t="s">
        <v>816</v>
      </c>
      <c r="F106" s="16" t="s">
        <v>817</v>
      </c>
      <c r="G106" s="16" t="s">
        <v>818</v>
      </c>
      <c r="H106" s="16" t="s">
        <v>819</v>
      </c>
      <c r="I106" s="23" t="s">
        <v>46</v>
      </c>
      <c r="J106" s="15" t="s">
        <v>77</v>
      </c>
      <c r="K106" s="15" t="s">
        <v>57</v>
      </c>
      <c r="L106" s="16" t="s">
        <v>820</v>
      </c>
      <c r="M106" s="24" t="s">
        <v>9</v>
      </c>
      <c r="N106" s="16" t="s">
        <v>117</v>
      </c>
      <c r="O106" s="15" t="s">
        <v>118</v>
      </c>
      <c r="P106" s="16" t="s">
        <v>520</v>
      </c>
    </row>
    <row r="107" spans="1:16" ht="75" x14ac:dyDescent="0.2">
      <c r="A107" s="15" t="s">
        <v>821</v>
      </c>
      <c r="B107" s="16" t="s">
        <v>27</v>
      </c>
      <c r="C107" s="15" t="s">
        <v>787</v>
      </c>
      <c r="D107" s="16" t="s">
        <v>822</v>
      </c>
      <c r="E107" s="16" t="s">
        <v>823</v>
      </c>
      <c r="F107" s="16" t="s">
        <v>824</v>
      </c>
      <c r="G107" s="16" t="s">
        <v>825</v>
      </c>
      <c r="H107" s="16" t="s">
        <v>826</v>
      </c>
      <c r="I107" s="25" t="s">
        <v>47</v>
      </c>
      <c r="J107" s="15" t="s">
        <v>77</v>
      </c>
      <c r="K107" s="15" t="s">
        <v>57</v>
      </c>
      <c r="L107" s="16" t="s">
        <v>827</v>
      </c>
      <c r="M107" s="15" t="s">
        <v>12</v>
      </c>
      <c r="N107" s="16"/>
      <c r="O107" s="15"/>
      <c r="P107" s="16" t="s">
        <v>828</v>
      </c>
    </row>
    <row r="108" spans="1:16" ht="90" x14ac:dyDescent="0.2">
      <c r="A108" s="15" t="s">
        <v>829</v>
      </c>
      <c r="B108" s="16" t="s">
        <v>27</v>
      </c>
      <c r="C108" s="15" t="s">
        <v>787</v>
      </c>
      <c r="D108" s="16" t="s">
        <v>830</v>
      </c>
      <c r="E108" s="16" t="s">
        <v>831</v>
      </c>
      <c r="F108" s="16" t="s">
        <v>832</v>
      </c>
      <c r="G108" s="16" t="s">
        <v>833</v>
      </c>
      <c r="H108" s="16" t="s">
        <v>834</v>
      </c>
      <c r="I108" s="25" t="s">
        <v>47</v>
      </c>
      <c r="J108" s="15" t="s">
        <v>77</v>
      </c>
      <c r="K108" s="15" t="s">
        <v>57</v>
      </c>
      <c r="L108" s="16" t="s">
        <v>835</v>
      </c>
      <c r="M108" s="24" t="s">
        <v>9</v>
      </c>
      <c r="N108" s="16" t="s">
        <v>117</v>
      </c>
      <c r="O108" s="15" t="s">
        <v>118</v>
      </c>
      <c r="P108" s="16" t="s">
        <v>836</v>
      </c>
    </row>
    <row r="109" spans="1:16" ht="120" x14ac:dyDescent="0.2">
      <c r="A109" s="15" t="s">
        <v>84</v>
      </c>
      <c r="B109" s="16" t="s">
        <v>27</v>
      </c>
      <c r="C109" s="15" t="s">
        <v>787</v>
      </c>
      <c r="D109" s="16" t="s">
        <v>837</v>
      </c>
      <c r="E109" s="16" t="s">
        <v>838</v>
      </c>
      <c r="F109" s="16" t="s">
        <v>839</v>
      </c>
      <c r="G109" s="16" t="s">
        <v>840</v>
      </c>
      <c r="H109" s="16" t="s">
        <v>841</v>
      </c>
      <c r="I109" s="23" t="s">
        <v>46</v>
      </c>
      <c r="J109" s="15" t="s">
        <v>77</v>
      </c>
      <c r="K109" s="15" t="s">
        <v>57</v>
      </c>
      <c r="L109" s="16" t="s">
        <v>842</v>
      </c>
      <c r="M109" s="26" t="s">
        <v>10</v>
      </c>
      <c r="N109" s="16" t="s">
        <v>843</v>
      </c>
      <c r="O109" s="15" t="s">
        <v>118</v>
      </c>
      <c r="P109" s="16" t="s">
        <v>844</v>
      </c>
    </row>
    <row r="110" spans="1:16" ht="75" x14ac:dyDescent="0.2">
      <c r="A110" s="15" t="s">
        <v>845</v>
      </c>
      <c r="B110" s="16" t="s">
        <v>27</v>
      </c>
      <c r="C110" s="15" t="s">
        <v>787</v>
      </c>
      <c r="D110" s="16" t="s">
        <v>846</v>
      </c>
      <c r="E110" s="16" t="s">
        <v>847</v>
      </c>
      <c r="F110" s="16" t="s">
        <v>848</v>
      </c>
      <c r="G110" s="16" t="s">
        <v>849</v>
      </c>
      <c r="H110" s="16" t="s">
        <v>850</v>
      </c>
      <c r="I110" s="23" t="s">
        <v>46</v>
      </c>
      <c r="J110" s="15" t="s">
        <v>82</v>
      </c>
      <c r="K110" s="15" t="s">
        <v>115</v>
      </c>
      <c r="L110" s="16" t="s">
        <v>851</v>
      </c>
      <c r="M110" s="24" t="s">
        <v>9</v>
      </c>
      <c r="N110" s="16" t="s">
        <v>117</v>
      </c>
      <c r="O110" s="15" t="s">
        <v>118</v>
      </c>
      <c r="P110" s="16" t="s">
        <v>852</v>
      </c>
    </row>
    <row r="111" spans="1:16" ht="75" x14ac:dyDescent="0.2">
      <c r="A111" s="15" t="s">
        <v>853</v>
      </c>
      <c r="B111" s="16" t="s">
        <v>27</v>
      </c>
      <c r="C111" s="15" t="s">
        <v>787</v>
      </c>
      <c r="D111" s="16" t="s">
        <v>854</v>
      </c>
      <c r="E111" s="16" t="s">
        <v>855</v>
      </c>
      <c r="F111" s="16" t="s">
        <v>533</v>
      </c>
      <c r="G111" s="16" t="s">
        <v>856</v>
      </c>
      <c r="H111" s="16" t="s">
        <v>857</v>
      </c>
      <c r="I111" s="23" t="s">
        <v>46</v>
      </c>
      <c r="J111" s="15" t="s">
        <v>82</v>
      </c>
      <c r="K111" s="15" t="s">
        <v>115</v>
      </c>
      <c r="L111" s="16" t="s">
        <v>858</v>
      </c>
      <c r="M111" s="24" t="s">
        <v>9</v>
      </c>
      <c r="N111" s="16" t="s">
        <v>117</v>
      </c>
      <c r="O111" s="15" t="s">
        <v>118</v>
      </c>
      <c r="P111" s="16"/>
    </row>
    <row r="112" spans="1:16" ht="45" x14ac:dyDescent="0.2">
      <c r="A112" s="15" t="s">
        <v>859</v>
      </c>
      <c r="B112" s="16" t="s">
        <v>29</v>
      </c>
      <c r="C112" s="15" t="s">
        <v>860</v>
      </c>
      <c r="D112" s="16" t="s">
        <v>861</v>
      </c>
      <c r="E112" s="16" t="s">
        <v>862</v>
      </c>
      <c r="F112" s="16" t="s">
        <v>863</v>
      </c>
      <c r="G112" s="16" t="s">
        <v>864</v>
      </c>
      <c r="H112" s="16" t="s">
        <v>865</v>
      </c>
      <c r="I112" s="23" t="s">
        <v>46</v>
      </c>
      <c r="J112" s="15" t="s">
        <v>77</v>
      </c>
      <c r="K112" s="15" t="s">
        <v>115</v>
      </c>
      <c r="L112" s="16" t="s">
        <v>866</v>
      </c>
      <c r="M112" s="24" t="s">
        <v>9</v>
      </c>
      <c r="N112" s="16" t="s">
        <v>117</v>
      </c>
      <c r="O112" s="15" t="s">
        <v>118</v>
      </c>
      <c r="P112" s="16"/>
    </row>
    <row r="113" spans="1:16" ht="30" x14ac:dyDescent="0.2">
      <c r="A113" s="15" t="s">
        <v>867</v>
      </c>
      <c r="B113" s="16" t="s">
        <v>29</v>
      </c>
      <c r="C113" s="15" t="s">
        <v>860</v>
      </c>
      <c r="D113" s="16" t="s">
        <v>868</v>
      </c>
      <c r="E113" s="16" t="s">
        <v>869</v>
      </c>
      <c r="F113" s="16" t="s">
        <v>863</v>
      </c>
      <c r="G113" s="16" t="s">
        <v>870</v>
      </c>
      <c r="H113" s="16" t="s">
        <v>871</v>
      </c>
      <c r="I113" s="25" t="s">
        <v>47</v>
      </c>
      <c r="J113" s="15" t="s">
        <v>77</v>
      </c>
      <c r="K113" s="15" t="s">
        <v>115</v>
      </c>
      <c r="L113" s="16" t="s">
        <v>872</v>
      </c>
      <c r="M113" s="24" t="s">
        <v>9</v>
      </c>
      <c r="N113" s="16" t="s">
        <v>117</v>
      </c>
      <c r="O113" s="15" t="s">
        <v>118</v>
      </c>
      <c r="P113" s="16"/>
    </row>
    <row r="114" spans="1:16" ht="30" x14ac:dyDescent="0.2">
      <c r="A114" s="15" t="s">
        <v>873</v>
      </c>
      <c r="B114" s="16" t="s">
        <v>29</v>
      </c>
      <c r="C114" s="15" t="s">
        <v>860</v>
      </c>
      <c r="D114" s="16" t="s">
        <v>874</v>
      </c>
      <c r="E114" s="16" t="s">
        <v>875</v>
      </c>
      <c r="F114" s="16" t="s">
        <v>876</v>
      </c>
      <c r="G114" s="16" t="s">
        <v>877</v>
      </c>
      <c r="H114" s="16" t="s">
        <v>878</v>
      </c>
      <c r="I114" s="27" t="s">
        <v>49</v>
      </c>
      <c r="J114" s="15" t="s">
        <v>77</v>
      </c>
      <c r="K114" s="15" t="s">
        <v>115</v>
      </c>
      <c r="L114" s="16" t="s">
        <v>879</v>
      </c>
      <c r="M114" s="24" t="s">
        <v>9</v>
      </c>
      <c r="N114" s="16" t="s">
        <v>117</v>
      </c>
      <c r="O114" s="15" t="s">
        <v>118</v>
      </c>
      <c r="P114" s="16"/>
    </row>
    <row r="115" spans="1:16" ht="120" x14ac:dyDescent="0.2">
      <c r="A115" s="15" t="s">
        <v>880</v>
      </c>
      <c r="B115" s="16" t="s">
        <v>29</v>
      </c>
      <c r="C115" s="15" t="s">
        <v>860</v>
      </c>
      <c r="D115" s="16" t="s">
        <v>881</v>
      </c>
      <c r="E115" s="16" t="s">
        <v>882</v>
      </c>
      <c r="F115" s="16" t="s">
        <v>883</v>
      </c>
      <c r="G115" s="16" t="s">
        <v>884</v>
      </c>
      <c r="H115" s="16" t="s">
        <v>885</v>
      </c>
      <c r="I115" s="27" t="s">
        <v>49</v>
      </c>
      <c r="J115" s="15" t="s">
        <v>77</v>
      </c>
      <c r="K115" s="15" t="s">
        <v>115</v>
      </c>
      <c r="L115" s="16" t="s">
        <v>886</v>
      </c>
      <c r="M115" s="24" t="s">
        <v>9</v>
      </c>
      <c r="N115" s="16" t="s">
        <v>117</v>
      </c>
      <c r="O115" s="15" t="s">
        <v>118</v>
      </c>
      <c r="P115" s="16" t="s">
        <v>551</v>
      </c>
    </row>
    <row r="116" spans="1:16" ht="90" x14ac:dyDescent="0.2">
      <c r="A116" s="15" t="s">
        <v>887</v>
      </c>
      <c r="B116" s="16" t="s">
        <v>29</v>
      </c>
      <c r="C116" s="15" t="s">
        <v>860</v>
      </c>
      <c r="D116" s="16" t="s">
        <v>888</v>
      </c>
      <c r="E116" s="16" t="s">
        <v>889</v>
      </c>
      <c r="F116" s="16" t="s">
        <v>863</v>
      </c>
      <c r="G116" s="16" t="s">
        <v>890</v>
      </c>
      <c r="H116" s="16" t="s">
        <v>891</v>
      </c>
      <c r="I116" s="23" t="s">
        <v>46</v>
      </c>
      <c r="J116" s="15" t="s">
        <v>77</v>
      </c>
      <c r="K116" s="15" t="s">
        <v>115</v>
      </c>
      <c r="L116" s="16" t="s">
        <v>892</v>
      </c>
      <c r="M116" s="24" t="s">
        <v>9</v>
      </c>
      <c r="N116" s="16" t="s">
        <v>117</v>
      </c>
      <c r="O116" s="15" t="s">
        <v>118</v>
      </c>
      <c r="P116" s="16" t="s">
        <v>308</v>
      </c>
    </row>
    <row r="117" spans="1:16" ht="30" x14ac:dyDescent="0.2">
      <c r="A117" s="15" t="s">
        <v>893</v>
      </c>
      <c r="B117" s="16" t="s">
        <v>29</v>
      </c>
      <c r="C117" s="15" t="s">
        <v>860</v>
      </c>
      <c r="D117" s="16" t="s">
        <v>894</v>
      </c>
      <c r="E117" s="16" t="s">
        <v>895</v>
      </c>
      <c r="F117" s="16" t="s">
        <v>863</v>
      </c>
      <c r="G117" s="16" t="s">
        <v>896</v>
      </c>
      <c r="H117" s="16" t="s">
        <v>897</v>
      </c>
      <c r="I117" s="25" t="s">
        <v>47</v>
      </c>
      <c r="J117" s="15" t="s">
        <v>77</v>
      </c>
      <c r="K117" s="15" t="s">
        <v>115</v>
      </c>
      <c r="L117" s="16" t="s">
        <v>898</v>
      </c>
      <c r="M117" s="24" t="s">
        <v>9</v>
      </c>
      <c r="N117" s="16" t="s">
        <v>117</v>
      </c>
      <c r="O117" s="15" t="s">
        <v>118</v>
      </c>
      <c r="P117" s="16"/>
    </row>
    <row r="118" spans="1:16" ht="45" x14ac:dyDescent="0.2">
      <c r="A118" s="15" t="s">
        <v>899</v>
      </c>
      <c r="B118" s="16" t="s">
        <v>29</v>
      </c>
      <c r="C118" s="15" t="s">
        <v>860</v>
      </c>
      <c r="D118" s="16" t="s">
        <v>900</v>
      </c>
      <c r="E118" s="16" t="s">
        <v>901</v>
      </c>
      <c r="F118" s="16" t="s">
        <v>902</v>
      </c>
      <c r="G118" s="16" t="s">
        <v>903</v>
      </c>
      <c r="H118" s="16" t="s">
        <v>904</v>
      </c>
      <c r="I118" s="23" t="s">
        <v>46</v>
      </c>
      <c r="J118" s="15" t="s">
        <v>77</v>
      </c>
      <c r="K118" s="15" t="s">
        <v>115</v>
      </c>
      <c r="L118" s="16" t="s">
        <v>905</v>
      </c>
      <c r="M118" s="24" t="s">
        <v>9</v>
      </c>
      <c r="N118" s="16" t="s">
        <v>117</v>
      </c>
      <c r="O118" s="15" t="s">
        <v>118</v>
      </c>
      <c r="P118" s="16"/>
    </row>
    <row r="119" spans="1:16" ht="90" x14ac:dyDescent="0.2">
      <c r="A119" s="15" t="s">
        <v>906</v>
      </c>
      <c r="B119" s="16" t="s">
        <v>29</v>
      </c>
      <c r="C119" s="15" t="s">
        <v>907</v>
      </c>
      <c r="D119" s="16" t="s">
        <v>908</v>
      </c>
      <c r="E119" s="16" t="s">
        <v>909</v>
      </c>
      <c r="F119" s="16" t="s">
        <v>910</v>
      </c>
      <c r="G119" s="16" t="s">
        <v>911</v>
      </c>
      <c r="H119" s="16" t="s">
        <v>912</v>
      </c>
      <c r="I119" s="23" t="s">
        <v>46</v>
      </c>
      <c r="J119" s="15" t="s">
        <v>77</v>
      </c>
      <c r="K119" s="15" t="s">
        <v>115</v>
      </c>
      <c r="L119" s="16" t="s">
        <v>913</v>
      </c>
      <c r="M119" s="24" t="s">
        <v>9</v>
      </c>
      <c r="N119" s="16" t="s">
        <v>117</v>
      </c>
      <c r="O119" s="15" t="s">
        <v>118</v>
      </c>
      <c r="P119" s="16"/>
    </row>
    <row r="120" spans="1:16" ht="60" x14ac:dyDescent="0.2">
      <c r="A120" s="15" t="s">
        <v>914</v>
      </c>
      <c r="B120" s="16" t="s">
        <v>29</v>
      </c>
      <c r="C120" s="15" t="s">
        <v>907</v>
      </c>
      <c r="D120" s="16" t="s">
        <v>915</v>
      </c>
      <c r="E120" s="16" t="s">
        <v>916</v>
      </c>
      <c r="F120" s="16" t="s">
        <v>917</v>
      </c>
      <c r="G120" s="16" t="s">
        <v>918</v>
      </c>
      <c r="H120" s="16" t="s">
        <v>919</v>
      </c>
      <c r="I120" s="25" t="s">
        <v>47</v>
      </c>
      <c r="J120" s="15" t="s">
        <v>77</v>
      </c>
      <c r="K120" s="15" t="s">
        <v>115</v>
      </c>
      <c r="L120" s="16" t="s">
        <v>920</v>
      </c>
      <c r="M120" s="15" t="s">
        <v>12</v>
      </c>
      <c r="N120" s="16"/>
      <c r="O120" s="15"/>
      <c r="P120" s="16" t="s">
        <v>410</v>
      </c>
    </row>
    <row r="121" spans="1:16" ht="90" x14ac:dyDescent="0.2">
      <c r="A121" s="15" t="s">
        <v>921</v>
      </c>
      <c r="B121" s="16" t="s">
        <v>29</v>
      </c>
      <c r="C121" s="15" t="s">
        <v>907</v>
      </c>
      <c r="D121" s="16" t="s">
        <v>922</v>
      </c>
      <c r="E121" s="16" t="s">
        <v>923</v>
      </c>
      <c r="F121" s="16" t="s">
        <v>924</v>
      </c>
      <c r="G121" s="16" t="s">
        <v>925</v>
      </c>
      <c r="H121" s="16" t="s">
        <v>926</v>
      </c>
      <c r="I121" s="23" t="s">
        <v>46</v>
      </c>
      <c r="J121" s="15" t="s">
        <v>77</v>
      </c>
      <c r="K121" s="15" t="s">
        <v>115</v>
      </c>
      <c r="L121" s="16" t="s">
        <v>927</v>
      </c>
      <c r="M121" s="24" t="s">
        <v>9</v>
      </c>
      <c r="N121" s="16" t="s">
        <v>117</v>
      </c>
      <c r="O121" s="15" t="s">
        <v>118</v>
      </c>
      <c r="P121" s="16" t="s">
        <v>308</v>
      </c>
    </row>
    <row r="122" spans="1:16" ht="60" x14ac:dyDescent="0.2">
      <c r="A122" s="15" t="s">
        <v>928</v>
      </c>
      <c r="B122" s="16" t="s">
        <v>29</v>
      </c>
      <c r="C122" s="15" t="s">
        <v>929</v>
      </c>
      <c r="D122" s="16" t="s">
        <v>930</v>
      </c>
      <c r="E122" s="16" t="s">
        <v>909</v>
      </c>
      <c r="F122" s="16" t="s">
        <v>931</v>
      </c>
      <c r="G122" s="16" t="s">
        <v>932</v>
      </c>
      <c r="H122" s="16" t="s">
        <v>933</v>
      </c>
      <c r="I122" s="23" t="s">
        <v>46</v>
      </c>
      <c r="J122" s="15" t="s">
        <v>77</v>
      </c>
      <c r="K122" s="15" t="s">
        <v>115</v>
      </c>
      <c r="L122" s="16" t="s">
        <v>934</v>
      </c>
      <c r="M122" s="24" t="s">
        <v>9</v>
      </c>
      <c r="N122" s="16" t="s">
        <v>117</v>
      </c>
      <c r="O122" s="15" t="s">
        <v>118</v>
      </c>
      <c r="P122" s="16"/>
    </row>
    <row r="123" spans="1:16" ht="90" x14ac:dyDescent="0.2">
      <c r="A123" s="15" t="s">
        <v>935</v>
      </c>
      <c r="B123" s="16" t="s">
        <v>29</v>
      </c>
      <c r="C123" s="15" t="s">
        <v>929</v>
      </c>
      <c r="D123" s="16" t="s">
        <v>936</v>
      </c>
      <c r="E123" s="16" t="s">
        <v>916</v>
      </c>
      <c r="F123" s="16" t="s">
        <v>937</v>
      </c>
      <c r="G123" s="16" t="s">
        <v>938</v>
      </c>
      <c r="H123" s="16" t="s">
        <v>939</v>
      </c>
      <c r="I123" s="25" t="s">
        <v>47</v>
      </c>
      <c r="J123" s="15" t="s">
        <v>82</v>
      </c>
      <c r="K123" s="15" t="s">
        <v>115</v>
      </c>
      <c r="L123" s="16" t="s">
        <v>940</v>
      </c>
      <c r="M123" s="24" t="s">
        <v>9</v>
      </c>
      <c r="N123" s="16" t="s">
        <v>117</v>
      </c>
      <c r="O123" s="15" t="s">
        <v>118</v>
      </c>
      <c r="P123" s="16" t="s">
        <v>264</v>
      </c>
    </row>
    <row r="124" spans="1:16" ht="90" x14ac:dyDescent="0.2">
      <c r="A124" s="15" t="s">
        <v>941</v>
      </c>
      <c r="B124" s="16" t="s">
        <v>29</v>
      </c>
      <c r="C124" s="15" t="s">
        <v>942</v>
      </c>
      <c r="D124" s="16" t="s">
        <v>943</v>
      </c>
      <c r="E124" s="16" t="s">
        <v>944</v>
      </c>
      <c r="F124" s="16" t="s">
        <v>945</v>
      </c>
      <c r="G124" s="16" t="s">
        <v>946</v>
      </c>
      <c r="H124" s="16" t="s">
        <v>947</v>
      </c>
      <c r="I124" s="23" t="s">
        <v>46</v>
      </c>
      <c r="J124" s="15" t="s">
        <v>77</v>
      </c>
      <c r="K124" s="15" t="s">
        <v>57</v>
      </c>
      <c r="L124" s="16" t="s">
        <v>948</v>
      </c>
      <c r="M124" s="24" t="s">
        <v>9</v>
      </c>
      <c r="N124" s="16" t="s">
        <v>117</v>
      </c>
      <c r="O124" s="15" t="s">
        <v>118</v>
      </c>
      <c r="P124" s="16" t="s">
        <v>949</v>
      </c>
    </row>
    <row r="125" spans="1:16" ht="60" x14ac:dyDescent="0.2">
      <c r="A125" s="15" t="s">
        <v>950</v>
      </c>
      <c r="B125" s="16" t="s">
        <v>29</v>
      </c>
      <c r="C125" s="15" t="s">
        <v>942</v>
      </c>
      <c r="D125" s="16" t="s">
        <v>951</v>
      </c>
      <c r="E125" s="16" t="s">
        <v>952</v>
      </c>
      <c r="F125" s="16" t="s">
        <v>953</v>
      </c>
      <c r="G125" s="16" t="s">
        <v>954</v>
      </c>
      <c r="H125" s="16" t="s">
        <v>955</v>
      </c>
      <c r="I125" s="23" t="s">
        <v>46</v>
      </c>
      <c r="J125" s="15" t="s">
        <v>77</v>
      </c>
      <c r="K125" s="15" t="s">
        <v>115</v>
      </c>
      <c r="L125" s="16" t="s">
        <v>956</v>
      </c>
      <c r="M125" s="24" t="s">
        <v>9</v>
      </c>
      <c r="N125" s="16" t="s">
        <v>117</v>
      </c>
      <c r="O125" s="15" t="s">
        <v>118</v>
      </c>
      <c r="P125" s="16" t="s">
        <v>264</v>
      </c>
    </row>
    <row r="126" spans="1:16" ht="30" x14ac:dyDescent="0.2">
      <c r="A126" s="15" t="s">
        <v>957</v>
      </c>
      <c r="B126" s="16" t="s">
        <v>29</v>
      </c>
      <c r="C126" s="15" t="s">
        <v>942</v>
      </c>
      <c r="D126" s="16" t="s">
        <v>958</v>
      </c>
      <c r="E126" s="16" t="s">
        <v>916</v>
      </c>
      <c r="F126" s="16" t="s">
        <v>863</v>
      </c>
      <c r="G126" s="16" t="s">
        <v>959</v>
      </c>
      <c r="H126" s="16" t="s">
        <v>960</v>
      </c>
      <c r="I126" s="27" t="s">
        <v>49</v>
      </c>
      <c r="J126" s="15" t="s">
        <v>77</v>
      </c>
      <c r="K126" s="15" t="s">
        <v>115</v>
      </c>
      <c r="L126" s="16" t="s">
        <v>402</v>
      </c>
      <c r="M126" s="24" t="s">
        <v>9</v>
      </c>
      <c r="N126" s="16" t="s">
        <v>117</v>
      </c>
      <c r="O126" s="15" t="s">
        <v>118</v>
      </c>
      <c r="P126" s="16"/>
    </row>
    <row r="127" spans="1:16" ht="105" x14ac:dyDescent="0.2">
      <c r="A127" s="15" t="s">
        <v>961</v>
      </c>
      <c r="B127" s="16" t="s">
        <v>31</v>
      </c>
      <c r="C127" s="15" t="s">
        <v>962</v>
      </c>
      <c r="D127" s="16" t="s">
        <v>963</v>
      </c>
      <c r="E127" s="16" t="s">
        <v>964</v>
      </c>
      <c r="F127" s="16" t="s">
        <v>965</v>
      </c>
      <c r="G127" s="16" t="s">
        <v>966</v>
      </c>
      <c r="H127" s="16" t="s">
        <v>967</v>
      </c>
      <c r="I127" s="23" t="s">
        <v>46</v>
      </c>
      <c r="J127" s="15" t="s">
        <v>77</v>
      </c>
      <c r="K127" s="15" t="s">
        <v>115</v>
      </c>
      <c r="L127" s="16" t="s">
        <v>968</v>
      </c>
      <c r="M127" s="24" t="s">
        <v>9</v>
      </c>
      <c r="N127" s="16" t="s">
        <v>117</v>
      </c>
      <c r="O127" s="15" t="s">
        <v>118</v>
      </c>
      <c r="P127" s="16" t="s">
        <v>969</v>
      </c>
    </row>
    <row r="128" spans="1:16" ht="75" x14ac:dyDescent="0.2">
      <c r="A128" s="15" t="s">
        <v>970</v>
      </c>
      <c r="B128" s="16" t="s">
        <v>31</v>
      </c>
      <c r="C128" s="15" t="s">
        <v>962</v>
      </c>
      <c r="D128" s="16" t="s">
        <v>971</v>
      </c>
      <c r="E128" s="16" t="s">
        <v>972</v>
      </c>
      <c r="F128" s="16" t="s">
        <v>973</v>
      </c>
      <c r="G128" s="16" t="s">
        <v>974</v>
      </c>
      <c r="H128" s="16" t="s">
        <v>975</v>
      </c>
      <c r="I128" s="23" t="s">
        <v>46</v>
      </c>
      <c r="J128" s="15" t="s">
        <v>77</v>
      </c>
      <c r="K128" s="15" t="s">
        <v>115</v>
      </c>
      <c r="L128" s="16" t="s">
        <v>976</v>
      </c>
      <c r="M128" s="24" t="s">
        <v>9</v>
      </c>
      <c r="N128" s="16" t="s">
        <v>117</v>
      </c>
      <c r="O128" s="15" t="s">
        <v>118</v>
      </c>
      <c r="P128" s="16" t="s">
        <v>308</v>
      </c>
    </row>
    <row r="129" spans="1:16" ht="75" x14ac:dyDescent="0.2">
      <c r="A129" s="15" t="s">
        <v>977</v>
      </c>
      <c r="B129" s="16" t="s">
        <v>31</v>
      </c>
      <c r="C129" s="15" t="s">
        <v>978</v>
      </c>
      <c r="D129" s="16" t="s">
        <v>979</v>
      </c>
      <c r="E129" s="16" t="s">
        <v>980</v>
      </c>
      <c r="F129" s="16" t="s">
        <v>981</v>
      </c>
      <c r="G129" s="16" t="s">
        <v>982</v>
      </c>
      <c r="H129" s="16" t="s">
        <v>983</v>
      </c>
      <c r="I129" s="23" t="s">
        <v>46</v>
      </c>
      <c r="J129" s="15" t="s">
        <v>77</v>
      </c>
      <c r="K129" s="15" t="s">
        <v>115</v>
      </c>
      <c r="L129" s="16" t="s">
        <v>984</v>
      </c>
      <c r="M129" s="24" t="s">
        <v>9</v>
      </c>
      <c r="N129" s="16" t="s">
        <v>117</v>
      </c>
      <c r="O129" s="15" t="s">
        <v>118</v>
      </c>
      <c r="P129" s="16" t="s">
        <v>186</v>
      </c>
    </row>
    <row r="130" spans="1:16" ht="45" x14ac:dyDescent="0.2">
      <c r="A130" s="15" t="s">
        <v>985</v>
      </c>
      <c r="B130" s="16" t="s">
        <v>31</v>
      </c>
      <c r="C130" s="15" t="s">
        <v>978</v>
      </c>
      <c r="D130" s="16" t="s">
        <v>986</v>
      </c>
      <c r="E130" s="16" t="s">
        <v>987</v>
      </c>
      <c r="F130" s="16" t="s">
        <v>988</v>
      </c>
      <c r="G130" s="16" t="s">
        <v>989</v>
      </c>
      <c r="H130" s="16" t="s">
        <v>990</v>
      </c>
      <c r="I130" s="27" t="s">
        <v>49</v>
      </c>
      <c r="J130" s="15" t="s">
        <v>77</v>
      </c>
      <c r="K130" s="15" t="s">
        <v>115</v>
      </c>
      <c r="L130" s="16" t="s">
        <v>991</v>
      </c>
      <c r="M130" s="24" t="s">
        <v>9</v>
      </c>
      <c r="N130" s="16" t="s">
        <v>117</v>
      </c>
      <c r="O130" s="15" t="s">
        <v>118</v>
      </c>
      <c r="P130" s="16"/>
    </row>
    <row r="131" spans="1:16" ht="105" x14ac:dyDescent="0.2">
      <c r="A131" s="15" t="s">
        <v>70</v>
      </c>
      <c r="B131" s="16" t="s">
        <v>31</v>
      </c>
      <c r="C131" s="15" t="s">
        <v>978</v>
      </c>
      <c r="D131" s="16" t="s">
        <v>992</v>
      </c>
      <c r="E131" s="16" t="s">
        <v>980</v>
      </c>
      <c r="F131" s="16" t="s">
        <v>993</v>
      </c>
      <c r="G131" s="16" t="s">
        <v>994</v>
      </c>
      <c r="H131" s="16" t="s">
        <v>995</v>
      </c>
      <c r="I131" s="27" t="s">
        <v>49</v>
      </c>
      <c r="J131" s="15" t="s">
        <v>77</v>
      </c>
      <c r="K131" s="15" t="s">
        <v>115</v>
      </c>
      <c r="L131" s="16" t="s">
        <v>996</v>
      </c>
      <c r="M131" s="26" t="s">
        <v>10</v>
      </c>
      <c r="N131" s="16" t="s">
        <v>117</v>
      </c>
      <c r="O131" s="15" t="s">
        <v>118</v>
      </c>
      <c r="P131" s="16" t="s">
        <v>997</v>
      </c>
    </row>
    <row r="132" spans="1:16" ht="60" x14ac:dyDescent="0.2">
      <c r="A132" s="15" t="s">
        <v>998</v>
      </c>
      <c r="B132" s="16" t="s">
        <v>31</v>
      </c>
      <c r="C132" s="15" t="s">
        <v>978</v>
      </c>
      <c r="D132" s="16" t="s">
        <v>999</v>
      </c>
      <c r="E132" s="16" t="s">
        <v>1000</v>
      </c>
      <c r="F132" s="16" t="s">
        <v>1001</v>
      </c>
      <c r="G132" s="16" t="s">
        <v>1002</v>
      </c>
      <c r="H132" s="16" t="s">
        <v>1003</v>
      </c>
      <c r="I132" s="23" t="s">
        <v>46</v>
      </c>
      <c r="J132" s="15" t="s">
        <v>82</v>
      </c>
      <c r="K132" s="15" t="s">
        <v>115</v>
      </c>
      <c r="L132" s="16" t="s">
        <v>1004</v>
      </c>
      <c r="M132" s="24" t="s">
        <v>9</v>
      </c>
      <c r="N132" s="16" t="s">
        <v>117</v>
      </c>
      <c r="O132" s="15" t="s">
        <v>118</v>
      </c>
      <c r="P132" s="16" t="s">
        <v>308</v>
      </c>
    </row>
    <row r="133" spans="1:16" ht="45" x14ac:dyDescent="0.2">
      <c r="A133" s="15" t="s">
        <v>1005</v>
      </c>
      <c r="B133" s="16" t="s">
        <v>31</v>
      </c>
      <c r="C133" s="15" t="s">
        <v>978</v>
      </c>
      <c r="D133" s="16" t="s">
        <v>1006</v>
      </c>
      <c r="E133" s="16" t="s">
        <v>1007</v>
      </c>
      <c r="F133" s="16" t="s">
        <v>533</v>
      </c>
      <c r="G133" s="16" t="s">
        <v>1008</v>
      </c>
      <c r="H133" s="16" t="s">
        <v>1009</v>
      </c>
      <c r="I133" s="27" t="s">
        <v>49</v>
      </c>
      <c r="J133" s="15" t="s">
        <v>77</v>
      </c>
      <c r="K133" s="15" t="s">
        <v>115</v>
      </c>
      <c r="L133" s="16" t="s">
        <v>1010</v>
      </c>
      <c r="M133" s="24" t="s">
        <v>9</v>
      </c>
      <c r="N133" s="16" t="s">
        <v>117</v>
      </c>
      <c r="O133" s="15" t="s">
        <v>118</v>
      </c>
      <c r="P133" s="16"/>
    </row>
    <row r="134" spans="1:16" ht="105" x14ac:dyDescent="0.2">
      <c r="A134" s="15" t="s">
        <v>1011</v>
      </c>
      <c r="B134" s="16" t="s">
        <v>31</v>
      </c>
      <c r="C134" s="15" t="s">
        <v>1012</v>
      </c>
      <c r="D134" s="16" t="s">
        <v>1013</v>
      </c>
      <c r="E134" s="16" t="s">
        <v>1014</v>
      </c>
      <c r="F134" s="16" t="s">
        <v>1015</v>
      </c>
      <c r="G134" s="16" t="s">
        <v>1016</v>
      </c>
      <c r="H134" s="16" t="s">
        <v>1017</v>
      </c>
      <c r="I134" s="23" t="s">
        <v>46</v>
      </c>
      <c r="J134" s="15" t="s">
        <v>77</v>
      </c>
      <c r="K134" s="15" t="s">
        <v>57</v>
      </c>
      <c r="L134" s="16" t="s">
        <v>1018</v>
      </c>
      <c r="M134" s="24" t="s">
        <v>9</v>
      </c>
      <c r="N134" s="16" t="s">
        <v>117</v>
      </c>
      <c r="O134" s="15" t="s">
        <v>118</v>
      </c>
      <c r="P134" s="16" t="s">
        <v>520</v>
      </c>
    </row>
    <row r="135" spans="1:16" ht="60" x14ac:dyDescent="0.2">
      <c r="A135" s="15" t="s">
        <v>1019</v>
      </c>
      <c r="B135" s="16" t="s">
        <v>31</v>
      </c>
      <c r="C135" s="15" t="s">
        <v>1020</v>
      </c>
      <c r="D135" s="16" t="s">
        <v>1021</v>
      </c>
      <c r="E135" s="16" t="s">
        <v>1022</v>
      </c>
      <c r="F135" s="16" t="s">
        <v>1015</v>
      </c>
      <c r="G135" s="16" t="s">
        <v>1023</v>
      </c>
      <c r="H135" s="16" t="s">
        <v>1024</v>
      </c>
      <c r="I135" s="23" t="s">
        <v>46</v>
      </c>
      <c r="J135" s="15" t="s">
        <v>82</v>
      </c>
      <c r="K135" s="15" t="s">
        <v>115</v>
      </c>
      <c r="L135" s="16" t="s">
        <v>1025</v>
      </c>
      <c r="M135" s="24" t="s">
        <v>9</v>
      </c>
      <c r="N135" s="16" t="s">
        <v>117</v>
      </c>
      <c r="O135" s="15" t="s">
        <v>118</v>
      </c>
      <c r="P135" s="16" t="s">
        <v>264</v>
      </c>
    </row>
    <row r="136" spans="1:16" ht="30" x14ac:dyDescent="0.2">
      <c r="A136" s="15" t="s">
        <v>1026</v>
      </c>
      <c r="B136" s="16" t="s">
        <v>31</v>
      </c>
      <c r="C136" s="15" t="s">
        <v>1020</v>
      </c>
      <c r="D136" s="16" t="s">
        <v>1027</v>
      </c>
      <c r="E136" s="16" t="s">
        <v>1028</v>
      </c>
      <c r="F136" s="16" t="s">
        <v>1029</v>
      </c>
      <c r="G136" s="16" t="s">
        <v>1030</v>
      </c>
      <c r="H136" s="16" t="s">
        <v>1031</v>
      </c>
      <c r="I136" s="27" t="s">
        <v>49</v>
      </c>
      <c r="J136" s="15" t="s">
        <v>77</v>
      </c>
      <c r="K136" s="15" t="s">
        <v>115</v>
      </c>
      <c r="L136" s="16" t="s">
        <v>1032</v>
      </c>
      <c r="M136" s="24" t="s">
        <v>9</v>
      </c>
      <c r="N136" s="16" t="s">
        <v>117</v>
      </c>
      <c r="O136" s="15" t="s">
        <v>118</v>
      </c>
      <c r="P136" s="16"/>
    </row>
  </sheetData>
  <autoFilter ref="A1:P136" xr:uid="{00000000-0009-0000-0000-000001000000}"/>
  <dataValidations count="1">
    <dataValidation type="list" allowBlank="1" sqref="M2:M136" xr:uid="{00000000-0002-0000-0100-000000000000}">
      <formula1>"Pass,Fail,Blocked,Chưa thực hiện"</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zoomScaleNormal="100" workbookViewId="0">
      <pane xSplit="4" ySplit="1" topLeftCell="E2" activePane="bottomRight" state="frozen"/>
      <selection pane="topRight" activeCell="E1" sqref="E1"/>
      <selection pane="bottomLeft" activeCell="A2" sqref="A2"/>
      <selection pane="bottomRight"/>
    </sheetView>
  </sheetViews>
  <sheetFormatPr baseColWidth="10" defaultColWidth="8.6640625" defaultRowHeight="15" x14ac:dyDescent="0.2"/>
  <cols>
    <col min="1" max="1" width="11" customWidth="1"/>
    <col min="2" max="2" width="24" customWidth="1"/>
    <col min="3" max="3" width="12" customWidth="1"/>
    <col min="4" max="4" width="34" customWidth="1"/>
    <col min="5" max="5" width="28" customWidth="1"/>
    <col min="6" max="6" width="30" customWidth="1"/>
    <col min="7" max="7" width="38" customWidth="1"/>
    <col min="8" max="8" width="46" customWidth="1"/>
    <col min="9" max="9" width="11" customWidth="1"/>
    <col min="10" max="11" width="12" customWidth="1"/>
    <col min="12" max="12" width="26" customWidth="1"/>
    <col min="13" max="14" width="14" customWidth="1"/>
    <col min="15" max="15" width="13" customWidth="1"/>
    <col min="16" max="16" width="20" customWidth="1"/>
  </cols>
  <sheetData>
    <row r="1" spans="1:16" ht="31.5" customHeight="1" x14ac:dyDescent="0.2">
      <c r="A1" s="14" t="s">
        <v>60</v>
      </c>
      <c r="B1" s="14" t="s">
        <v>6</v>
      </c>
      <c r="C1" s="14" t="s">
        <v>94</v>
      </c>
      <c r="D1" s="14" t="s">
        <v>95</v>
      </c>
      <c r="E1" s="14" t="s">
        <v>96</v>
      </c>
      <c r="F1" s="14" t="s">
        <v>97</v>
      </c>
      <c r="G1" s="14" t="s">
        <v>98</v>
      </c>
      <c r="H1" s="14" t="s">
        <v>99</v>
      </c>
      <c r="I1" s="14" t="s">
        <v>100</v>
      </c>
      <c r="J1" s="14" t="s">
        <v>101</v>
      </c>
      <c r="K1" s="14" t="s">
        <v>102</v>
      </c>
      <c r="L1" s="14" t="s">
        <v>103</v>
      </c>
      <c r="M1" s="14" t="s">
        <v>104</v>
      </c>
      <c r="N1" s="14" t="s">
        <v>105</v>
      </c>
      <c r="O1" s="14" t="s">
        <v>106</v>
      </c>
      <c r="P1" s="14" t="s">
        <v>107</v>
      </c>
    </row>
    <row r="2" spans="1:16" ht="105" x14ac:dyDescent="0.2">
      <c r="A2" s="15" t="s">
        <v>108</v>
      </c>
      <c r="B2" s="16" t="s">
        <v>15</v>
      </c>
      <c r="C2" s="15" t="s">
        <v>109</v>
      </c>
      <c r="D2" s="16" t="s">
        <v>110</v>
      </c>
      <c r="E2" s="16" t="s">
        <v>111</v>
      </c>
      <c r="F2" s="16" t="s">
        <v>112</v>
      </c>
      <c r="G2" s="16" t="s">
        <v>113</v>
      </c>
      <c r="H2" s="16" t="s">
        <v>114</v>
      </c>
      <c r="I2" s="23" t="s">
        <v>46</v>
      </c>
      <c r="J2" s="15" t="s">
        <v>77</v>
      </c>
      <c r="K2" s="15" t="s">
        <v>115</v>
      </c>
      <c r="L2" s="16" t="s">
        <v>116</v>
      </c>
      <c r="M2" s="24" t="s">
        <v>9</v>
      </c>
      <c r="N2" s="16" t="s">
        <v>117</v>
      </c>
      <c r="O2" s="15" t="s">
        <v>118</v>
      </c>
      <c r="P2" s="16" t="s">
        <v>119</v>
      </c>
    </row>
    <row r="3" spans="1:16" ht="30" x14ac:dyDescent="0.2">
      <c r="A3" s="15" t="s">
        <v>120</v>
      </c>
      <c r="B3" s="16" t="s">
        <v>15</v>
      </c>
      <c r="C3" s="15" t="s">
        <v>109</v>
      </c>
      <c r="D3" s="16" t="s">
        <v>121</v>
      </c>
      <c r="E3" s="16" t="s">
        <v>122</v>
      </c>
      <c r="F3" s="16" t="s">
        <v>123</v>
      </c>
      <c r="G3" s="16" t="s">
        <v>124</v>
      </c>
      <c r="H3" s="16" t="s">
        <v>125</v>
      </c>
      <c r="I3" s="25" t="s">
        <v>47</v>
      </c>
      <c r="J3" s="15" t="s">
        <v>77</v>
      </c>
      <c r="K3" s="15" t="s">
        <v>115</v>
      </c>
      <c r="L3" s="16" t="s">
        <v>126</v>
      </c>
      <c r="M3" s="24" t="s">
        <v>9</v>
      </c>
      <c r="N3" s="16" t="s">
        <v>117</v>
      </c>
      <c r="O3" s="15" t="s">
        <v>118</v>
      </c>
      <c r="P3" s="16"/>
    </row>
    <row r="4" spans="1:16" ht="30" x14ac:dyDescent="0.2">
      <c r="A4" s="15" t="s">
        <v>127</v>
      </c>
      <c r="B4" s="16" t="s">
        <v>15</v>
      </c>
      <c r="C4" s="15" t="s">
        <v>109</v>
      </c>
      <c r="D4" s="16" t="s">
        <v>128</v>
      </c>
      <c r="E4" s="16" t="s">
        <v>122</v>
      </c>
      <c r="F4" s="16" t="s">
        <v>129</v>
      </c>
      <c r="G4" s="16" t="s">
        <v>124</v>
      </c>
      <c r="H4" s="16" t="s">
        <v>125</v>
      </c>
      <c r="I4" s="25" t="s">
        <v>47</v>
      </c>
      <c r="J4" s="15" t="s">
        <v>77</v>
      </c>
      <c r="K4" s="15" t="s">
        <v>115</v>
      </c>
      <c r="L4" s="16" t="s">
        <v>126</v>
      </c>
      <c r="M4" s="24" t="s">
        <v>9</v>
      </c>
      <c r="N4" s="16" t="s">
        <v>117</v>
      </c>
      <c r="O4" s="15" t="s">
        <v>118</v>
      </c>
      <c r="P4" s="16"/>
    </row>
    <row r="5" spans="1:16" ht="30" x14ac:dyDescent="0.2">
      <c r="A5" s="15" t="s">
        <v>130</v>
      </c>
      <c r="B5" s="16" t="s">
        <v>15</v>
      </c>
      <c r="C5" s="15" t="s">
        <v>109</v>
      </c>
      <c r="D5" s="16" t="s">
        <v>131</v>
      </c>
      <c r="E5" s="16" t="s">
        <v>122</v>
      </c>
      <c r="F5" s="16" t="s">
        <v>132</v>
      </c>
      <c r="G5" s="16" t="s">
        <v>124</v>
      </c>
      <c r="H5" s="16" t="s">
        <v>125</v>
      </c>
      <c r="I5" s="25" t="s">
        <v>47</v>
      </c>
      <c r="J5" s="15" t="s">
        <v>77</v>
      </c>
      <c r="K5" s="15" t="s">
        <v>115</v>
      </c>
      <c r="L5" s="16" t="s">
        <v>126</v>
      </c>
      <c r="M5" s="24" t="s">
        <v>9</v>
      </c>
      <c r="N5" s="16" t="s">
        <v>117</v>
      </c>
      <c r="O5" s="15" t="s">
        <v>118</v>
      </c>
      <c r="P5" s="16"/>
    </row>
    <row r="6" spans="1:16" ht="30" x14ac:dyDescent="0.2">
      <c r="A6" s="15" t="s">
        <v>133</v>
      </c>
      <c r="B6" s="16" t="s">
        <v>15</v>
      </c>
      <c r="C6" s="15" t="s">
        <v>109</v>
      </c>
      <c r="D6" s="16" t="s">
        <v>134</v>
      </c>
      <c r="E6" s="16" t="s">
        <v>122</v>
      </c>
      <c r="F6" s="16" t="s">
        <v>135</v>
      </c>
      <c r="G6" s="16" t="s">
        <v>124</v>
      </c>
      <c r="H6" s="16" t="s">
        <v>125</v>
      </c>
      <c r="I6" s="25" t="s">
        <v>47</v>
      </c>
      <c r="J6" s="15" t="s">
        <v>82</v>
      </c>
      <c r="K6" s="15" t="s">
        <v>115</v>
      </c>
      <c r="L6" s="16" t="s">
        <v>126</v>
      </c>
      <c r="M6" s="24" t="s">
        <v>9</v>
      </c>
      <c r="N6" s="16" t="s">
        <v>117</v>
      </c>
      <c r="O6" s="15" t="s">
        <v>118</v>
      </c>
      <c r="P6" s="16"/>
    </row>
    <row r="7" spans="1:16" ht="45" x14ac:dyDescent="0.2">
      <c r="A7" s="15" t="s">
        <v>88</v>
      </c>
      <c r="B7" s="16" t="s">
        <v>15</v>
      </c>
      <c r="C7" s="15" t="s">
        <v>109</v>
      </c>
      <c r="D7" s="16" t="s">
        <v>136</v>
      </c>
      <c r="E7" s="16" t="s">
        <v>137</v>
      </c>
      <c r="F7" s="16" t="s">
        <v>138</v>
      </c>
      <c r="G7" s="16" t="s">
        <v>139</v>
      </c>
      <c r="H7" s="16" t="s">
        <v>140</v>
      </c>
      <c r="I7" s="25" t="s">
        <v>47</v>
      </c>
      <c r="J7" s="15" t="s">
        <v>77</v>
      </c>
      <c r="K7" s="15" t="s">
        <v>115</v>
      </c>
      <c r="L7" s="16" t="s">
        <v>141</v>
      </c>
      <c r="M7" s="26" t="s">
        <v>10</v>
      </c>
      <c r="N7" s="16" t="s">
        <v>117</v>
      </c>
      <c r="O7" s="15" t="s">
        <v>118</v>
      </c>
      <c r="P7" s="16" t="s">
        <v>142</v>
      </c>
    </row>
    <row r="8" spans="1:16" ht="75" x14ac:dyDescent="0.2">
      <c r="A8" s="15" t="s">
        <v>143</v>
      </c>
      <c r="B8" s="16" t="s">
        <v>15</v>
      </c>
      <c r="C8" s="15" t="s">
        <v>109</v>
      </c>
      <c r="D8" s="16" t="s">
        <v>144</v>
      </c>
      <c r="E8" s="16" t="s">
        <v>145</v>
      </c>
      <c r="F8" s="16" t="s">
        <v>146</v>
      </c>
      <c r="G8" s="16" t="s">
        <v>147</v>
      </c>
      <c r="H8" s="16" t="s">
        <v>148</v>
      </c>
      <c r="I8" s="25" t="s">
        <v>47</v>
      </c>
      <c r="J8" s="15" t="s">
        <v>77</v>
      </c>
      <c r="K8" s="15" t="s">
        <v>115</v>
      </c>
      <c r="L8" s="16" t="s">
        <v>149</v>
      </c>
      <c r="M8" s="15" t="s">
        <v>12</v>
      </c>
      <c r="N8" s="16"/>
      <c r="O8" s="15"/>
      <c r="P8" s="16" t="s">
        <v>150</v>
      </c>
    </row>
    <row r="9" spans="1:16" ht="75" x14ac:dyDescent="0.2">
      <c r="A9" s="15" t="s">
        <v>151</v>
      </c>
      <c r="B9" s="16" t="s">
        <v>15</v>
      </c>
      <c r="C9" s="15" t="s">
        <v>109</v>
      </c>
      <c r="D9" s="16" t="s">
        <v>152</v>
      </c>
      <c r="E9" s="16" t="s">
        <v>145</v>
      </c>
      <c r="F9" s="16" t="s">
        <v>153</v>
      </c>
      <c r="G9" s="16" t="s">
        <v>154</v>
      </c>
      <c r="H9" s="16" t="s">
        <v>155</v>
      </c>
      <c r="I9" s="25" t="s">
        <v>47</v>
      </c>
      <c r="J9" s="15" t="s">
        <v>82</v>
      </c>
      <c r="K9" s="15" t="s">
        <v>115</v>
      </c>
      <c r="L9" s="16" t="s">
        <v>149</v>
      </c>
      <c r="M9" s="15" t="s">
        <v>12</v>
      </c>
      <c r="N9" s="16"/>
      <c r="O9" s="15"/>
      <c r="P9" s="16" t="s">
        <v>150</v>
      </c>
    </row>
    <row r="10" spans="1:16" ht="60" x14ac:dyDescent="0.2">
      <c r="A10" s="15" t="s">
        <v>156</v>
      </c>
      <c r="B10" s="16" t="s">
        <v>15</v>
      </c>
      <c r="C10" s="15" t="s">
        <v>109</v>
      </c>
      <c r="D10" s="16" t="s">
        <v>157</v>
      </c>
      <c r="E10" s="16" t="s">
        <v>158</v>
      </c>
      <c r="F10" s="16" t="s">
        <v>159</v>
      </c>
      <c r="G10" s="16" t="s">
        <v>160</v>
      </c>
      <c r="H10" s="16" t="s">
        <v>161</v>
      </c>
      <c r="I10" s="27" t="s">
        <v>49</v>
      </c>
      <c r="J10" s="15" t="s">
        <v>77</v>
      </c>
      <c r="K10" s="15" t="s">
        <v>115</v>
      </c>
      <c r="L10" s="16" t="s">
        <v>162</v>
      </c>
      <c r="M10" s="24" t="s">
        <v>9</v>
      </c>
      <c r="N10" s="16" t="s">
        <v>117</v>
      </c>
      <c r="O10" s="15" t="s">
        <v>118</v>
      </c>
      <c r="P10" s="16"/>
    </row>
    <row r="11" spans="1:16" ht="75" x14ac:dyDescent="0.2">
      <c r="A11" s="15" t="s">
        <v>163</v>
      </c>
      <c r="B11" s="16" t="s">
        <v>15</v>
      </c>
      <c r="C11" s="15" t="s">
        <v>109</v>
      </c>
      <c r="D11" s="16" t="s">
        <v>164</v>
      </c>
      <c r="E11" s="16" t="s">
        <v>165</v>
      </c>
      <c r="F11" s="16" t="s">
        <v>166</v>
      </c>
      <c r="G11" s="16" t="s">
        <v>167</v>
      </c>
      <c r="H11" s="16" t="s">
        <v>168</v>
      </c>
      <c r="I11" s="23" t="s">
        <v>46</v>
      </c>
      <c r="J11" s="15" t="s">
        <v>82</v>
      </c>
      <c r="K11" s="15" t="s">
        <v>57</v>
      </c>
      <c r="L11" s="16" t="s">
        <v>169</v>
      </c>
      <c r="M11" s="15" t="s">
        <v>12</v>
      </c>
      <c r="N11" s="16"/>
      <c r="O11" s="15"/>
      <c r="P11" s="16" t="s">
        <v>170</v>
      </c>
    </row>
    <row r="12" spans="1:16" ht="90" x14ac:dyDescent="0.2">
      <c r="A12" s="15" t="s">
        <v>171</v>
      </c>
      <c r="B12" s="16" t="s">
        <v>15</v>
      </c>
      <c r="C12" s="15" t="s">
        <v>109</v>
      </c>
      <c r="D12" s="16" t="s">
        <v>172</v>
      </c>
      <c r="E12" s="16" t="s">
        <v>173</v>
      </c>
      <c r="F12" s="16" t="s">
        <v>174</v>
      </c>
      <c r="G12" s="16" t="s">
        <v>175</v>
      </c>
      <c r="H12" s="16" t="s">
        <v>176</v>
      </c>
      <c r="I12" s="27" t="s">
        <v>49</v>
      </c>
      <c r="J12" s="15" t="s">
        <v>77</v>
      </c>
      <c r="K12" s="15" t="s">
        <v>115</v>
      </c>
      <c r="L12" s="16" t="s">
        <v>177</v>
      </c>
      <c r="M12" s="24" t="s">
        <v>9</v>
      </c>
      <c r="N12" s="16" t="s">
        <v>117</v>
      </c>
      <c r="O12" s="15" t="s">
        <v>118</v>
      </c>
      <c r="P12" s="16"/>
    </row>
    <row r="13" spans="1:16" ht="75" x14ac:dyDescent="0.2">
      <c r="A13" s="15" t="s">
        <v>178</v>
      </c>
      <c r="B13" s="16" t="s">
        <v>15</v>
      </c>
      <c r="C13" s="15" t="s">
        <v>179</v>
      </c>
      <c r="D13" s="16" t="s">
        <v>180</v>
      </c>
      <c r="E13" s="16" t="s">
        <v>181</v>
      </c>
      <c r="F13" s="16" t="s">
        <v>182</v>
      </c>
      <c r="G13" s="16" t="s">
        <v>183</v>
      </c>
      <c r="H13" s="16" t="s">
        <v>184</v>
      </c>
      <c r="I13" s="23" t="s">
        <v>46</v>
      </c>
      <c r="J13" s="15" t="s">
        <v>77</v>
      </c>
      <c r="K13" s="15" t="s">
        <v>115</v>
      </c>
      <c r="L13" s="16" t="s">
        <v>185</v>
      </c>
      <c r="M13" s="24" t="s">
        <v>9</v>
      </c>
      <c r="N13" s="16" t="s">
        <v>117</v>
      </c>
      <c r="O13" s="15" t="s">
        <v>118</v>
      </c>
      <c r="P13" s="16" t="s">
        <v>186</v>
      </c>
    </row>
    <row r="14" spans="1:16" ht="75" x14ac:dyDescent="0.2">
      <c r="A14" s="15" t="s">
        <v>187</v>
      </c>
      <c r="B14" s="16" t="s">
        <v>15</v>
      </c>
      <c r="C14" s="15" t="s">
        <v>179</v>
      </c>
      <c r="D14" s="16" t="s">
        <v>188</v>
      </c>
      <c r="E14" s="16" t="s">
        <v>181</v>
      </c>
      <c r="F14" s="16" t="s">
        <v>189</v>
      </c>
      <c r="G14" s="16" t="s">
        <v>183</v>
      </c>
      <c r="H14" s="16" t="s">
        <v>190</v>
      </c>
      <c r="I14" s="23" t="s">
        <v>46</v>
      </c>
      <c r="J14" s="15" t="s">
        <v>77</v>
      </c>
      <c r="K14" s="15" t="s">
        <v>115</v>
      </c>
      <c r="L14" s="16" t="s">
        <v>191</v>
      </c>
      <c r="M14" s="24" t="s">
        <v>9</v>
      </c>
      <c r="N14" s="16" t="s">
        <v>117</v>
      </c>
      <c r="O14" s="15" t="s">
        <v>118</v>
      </c>
      <c r="P14" s="16" t="s">
        <v>186</v>
      </c>
    </row>
    <row r="15" spans="1:16" ht="75" x14ac:dyDescent="0.2">
      <c r="A15" s="15" t="s">
        <v>192</v>
      </c>
      <c r="B15" s="16" t="s">
        <v>15</v>
      </c>
      <c r="C15" s="15" t="s">
        <v>179</v>
      </c>
      <c r="D15" s="16" t="s">
        <v>193</v>
      </c>
      <c r="E15" s="16" t="s">
        <v>194</v>
      </c>
      <c r="F15" s="16" t="s">
        <v>195</v>
      </c>
      <c r="G15" s="16" t="s">
        <v>183</v>
      </c>
      <c r="H15" s="16" t="s">
        <v>196</v>
      </c>
      <c r="I15" s="23" t="s">
        <v>46</v>
      </c>
      <c r="J15" s="15" t="s">
        <v>77</v>
      </c>
      <c r="K15" s="15" t="s">
        <v>115</v>
      </c>
      <c r="L15" s="16" t="s">
        <v>197</v>
      </c>
      <c r="M15" s="24" t="s">
        <v>9</v>
      </c>
      <c r="N15" s="16" t="s">
        <v>117</v>
      </c>
      <c r="O15" s="15" t="s">
        <v>118</v>
      </c>
      <c r="P15" s="16" t="s">
        <v>186</v>
      </c>
    </row>
    <row r="16" spans="1:16" ht="75" x14ac:dyDescent="0.2">
      <c r="A16" s="15" t="s">
        <v>198</v>
      </c>
      <c r="B16" s="16" t="s">
        <v>15</v>
      </c>
      <c r="C16" s="15" t="s">
        <v>179</v>
      </c>
      <c r="D16" s="16" t="s">
        <v>199</v>
      </c>
      <c r="E16" s="16" t="s">
        <v>181</v>
      </c>
      <c r="F16" s="16" t="s">
        <v>200</v>
      </c>
      <c r="G16" s="16" t="s">
        <v>183</v>
      </c>
      <c r="H16" s="16" t="s">
        <v>201</v>
      </c>
      <c r="I16" s="23" t="s">
        <v>46</v>
      </c>
      <c r="J16" s="15" t="s">
        <v>77</v>
      </c>
      <c r="K16" s="15" t="s">
        <v>115</v>
      </c>
      <c r="L16" s="16" t="s">
        <v>202</v>
      </c>
      <c r="M16" s="24" t="s">
        <v>9</v>
      </c>
      <c r="N16" s="16" t="s">
        <v>117</v>
      </c>
      <c r="O16" s="15" t="s">
        <v>118</v>
      </c>
      <c r="P16" s="16" t="s">
        <v>186</v>
      </c>
    </row>
    <row r="17" spans="1:16" ht="45" x14ac:dyDescent="0.2">
      <c r="A17" s="15" t="s">
        <v>203</v>
      </c>
      <c r="B17" s="16" t="s">
        <v>15</v>
      </c>
      <c r="C17" s="15" t="s">
        <v>179</v>
      </c>
      <c r="D17" s="16" t="s">
        <v>204</v>
      </c>
      <c r="E17" s="16" t="s">
        <v>205</v>
      </c>
      <c r="F17" s="16" t="s">
        <v>206</v>
      </c>
      <c r="G17" s="16" t="s">
        <v>183</v>
      </c>
      <c r="H17" s="16" t="s">
        <v>207</v>
      </c>
      <c r="I17" s="25" t="s">
        <v>47</v>
      </c>
      <c r="J17" s="15" t="s">
        <v>77</v>
      </c>
      <c r="K17" s="15" t="s">
        <v>115</v>
      </c>
      <c r="L17" s="16" t="s">
        <v>208</v>
      </c>
      <c r="M17" s="24" t="s">
        <v>9</v>
      </c>
      <c r="N17" s="16" t="s">
        <v>117</v>
      </c>
      <c r="O17" s="15" t="s">
        <v>118</v>
      </c>
      <c r="P17" s="16" t="s">
        <v>209</v>
      </c>
    </row>
    <row r="18" spans="1:16" ht="45" x14ac:dyDescent="0.2">
      <c r="A18" s="15" t="s">
        <v>210</v>
      </c>
      <c r="B18" s="16" t="s">
        <v>15</v>
      </c>
      <c r="C18" s="15" t="s">
        <v>179</v>
      </c>
      <c r="D18" s="16" t="s">
        <v>211</v>
      </c>
      <c r="E18" s="16" t="s">
        <v>212</v>
      </c>
      <c r="F18" s="16" t="s">
        <v>213</v>
      </c>
      <c r="G18" s="16" t="s">
        <v>183</v>
      </c>
      <c r="H18" s="16" t="s">
        <v>214</v>
      </c>
      <c r="I18" s="25" t="s">
        <v>47</v>
      </c>
      <c r="J18" s="15" t="s">
        <v>77</v>
      </c>
      <c r="K18" s="15" t="s">
        <v>115</v>
      </c>
      <c r="L18" s="16" t="s">
        <v>215</v>
      </c>
      <c r="M18" s="24" t="s">
        <v>9</v>
      </c>
      <c r="N18" s="16" t="s">
        <v>117</v>
      </c>
      <c r="O18" s="15" t="s">
        <v>118</v>
      </c>
      <c r="P18" s="16" t="s">
        <v>209</v>
      </c>
    </row>
    <row r="19" spans="1:16" ht="30" x14ac:dyDescent="0.2">
      <c r="A19" s="15" t="s">
        <v>216</v>
      </c>
      <c r="B19" s="16" t="s">
        <v>15</v>
      </c>
      <c r="C19" s="15" t="s">
        <v>179</v>
      </c>
      <c r="D19" s="16" t="s">
        <v>217</v>
      </c>
      <c r="E19" s="16" t="s">
        <v>122</v>
      </c>
      <c r="F19" s="16" t="s">
        <v>218</v>
      </c>
      <c r="G19" s="16" t="s">
        <v>183</v>
      </c>
      <c r="H19" s="16" t="s">
        <v>219</v>
      </c>
      <c r="I19" s="25" t="s">
        <v>47</v>
      </c>
      <c r="J19" s="15" t="s">
        <v>82</v>
      </c>
      <c r="K19" s="15" t="s">
        <v>115</v>
      </c>
      <c r="L19" s="16" t="s">
        <v>220</v>
      </c>
      <c r="M19" s="24" t="s">
        <v>9</v>
      </c>
      <c r="N19" s="16" t="s">
        <v>117</v>
      </c>
      <c r="O19" s="15" t="s">
        <v>118</v>
      </c>
      <c r="P19" s="16"/>
    </row>
    <row r="20" spans="1:16" ht="105" x14ac:dyDescent="0.2">
      <c r="A20" s="15" t="s">
        <v>221</v>
      </c>
      <c r="B20" s="16" t="s">
        <v>15</v>
      </c>
      <c r="C20" s="15" t="s">
        <v>179</v>
      </c>
      <c r="D20" s="16" t="s">
        <v>222</v>
      </c>
      <c r="E20" s="16" t="s">
        <v>223</v>
      </c>
      <c r="F20" s="16" t="s">
        <v>224</v>
      </c>
      <c r="G20" s="16" t="s">
        <v>225</v>
      </c>
      <c r="H20" s="16" t="s">
        <v>226</v>
      </c>
      <c r="I20" s="27" t="s">
        <v>49</v>
      </c>
      <c r="J20" s="15" t="s">
        <v>77</v>
      </c>
      <c r="K20" s="15" t="s">
        <v>115</v>
      </c>
      <c r="L20" s="16" t="s">
        <v>227</v>
      </c>
      <c r="M20" s="24" t="s">
        <v>9</v>
      </c>
      <c r="N20" s="16" t="s">
        <v>117</v>
      </c>
      <c r="O20" s="15" t="s">
        <v>118</v>
      </c>
      <c r="P20" s="16"/>
    </row>
    <row r="21" spans="1:16" ht="30" x14ac:dyDescent="0.2">
      <c r="A21" s="15" t="s">
        <v>228</v>
      </c>
      <c r="B21" s="16" t="s">
        <v>15</v>
      </c>
      <c r="C21" s="15" t="s">
        <v>229</v>
      </c>
      <c r="D21" s="16" t="s">
        <v>230</v>
      </c>
      <c r="E21" s="16" t="s">
        <v>231</v>
      </c>
      <c r="F21" s="16" t="s">
        <v>232</v>
      </c>
      <c r="G21" s="16" t="s">
        <v>233</v>
      </c>
      <c r="H21" s="16" t="s">
        <v>234</v>
      </c>
      <c r="I21" s="27" t="s">
        <v>49</v>
      </c>
      <c r="J21" s="15" t="s">
        <v>77</v>
      </c>
      <c r="K21" s="15" t="s">
        <v>115</v>
      </c>
      <c r="L21" s="16" t="s">
        <v>235</v>
      </c>
      <c r="M21" s="24" t="s">
        <v>9</v>
      </c>
      <c r="N21" s="16" t="s">
        <v>117</v>
      </c>
      <c r="O21" s="15" t="s">
        <v>118</v>
      </c>
      <c r="P21" s="16"/>
    </row>
    <row r="22" spans="1:16" ht="60" x14ac:dyDescent="0.2">
      <c r="A22" s="15" t="s">
        <v>236</v>
      </c>
      <c r="B22" s="16" t="s">
        <v>15</v>
      </c>
      <c r="C22" s="15" t="s">
        <v>229</v>
      </c>
      <c r="D22" s="16" t="s">
        <v>237</v>
      </c>
      <c r="E22" s="16" t="s">
        <v>231</v>
      </c>
      <c r="F22" s="16" t="s">
        <v>238</v>
      </c>
      <c r="G22" s="16" t="s">
        <v>239</v>
      </c>
      <c r="H22" s="16" t="s">
        <v>240</v>
      </c>
      <c r="I22" s="27" t="s">
        <v>49</v>
      </c>
      <c r="J22" s="15" t="s">
        <v>77</v>
      </c>
      <c r="K22" s="15" t="s">
        <v>115</v>
      </c>
      <c r="L22" s="16" t="s">
        <v>241</v>
      </c>
      <c r="M22" s="24" t="s">
        <v>9</v>
      </c>
      <c r="N22" s="16" t="s">
        <v>117</v>
      </c>
      <c r="O22" s="15" t="s">
        <v>118</v>
      </c>
      <c r="P22" s="16"/>
    </row>
    <row r="23" spans="1:16" ht="75" x14ac:dyDescent="0.2">
      <c r="A23" s="15" t="s">
        <v>242</v>
      </c>
      <c r="B23" s="16" t="s">
        <v>15</v>
      </c>
      <c r="C23" s="15" t="s">
        <v>229</v>
      </c>
      <c r="D23" s="16" t="s">
        <v>243</v>
      </c>
      <c r="E23" s="16" t="s">
        <v>244</v>
      </c>
      <c r="F23" s="16" t="s">
        <v>245</v>
      </c>
      <c r="G23" s="16" t="s">
        <v>246</v>
      </c>
      <c r="H23" s="16" t="s">
        <v>247</v>
      </c>
      <c r="I23" s="23" t="s">
        <v>46</v>
      </c>
      <c r="J23" s="15" t="s">
        <v>77</v>
      </c>
      <c r="K23" s="15" t="s">
        <v>115</v>
      </c>
      <c r="L23" s="16" t="s">
        <v>248</v>
      </c>
      <c r="M23" s="15" t="s">
        <v>12</v>
      </c>
      <c r="N23" s="16"/>
      <c r="O23" s="15"/>
      <c r="P23" s="16" t="s">
        <v>150</v>
      </c>
    </row>
    <row r="24" spans="1:16" ht="75" x14ac:dyDescent="0.2">
      <c r="A24" s="15" t="s">
        <v>249</v>
      </c>
      <c r="B24" s="16" t="s">
        <v>15</v>
      </c>
      <c r="C24" s="15" t="s">
        <v>250</v>
      </c>
      <c r="D24" s="16" t="s">
        <v>251</v>
      </c>
      <c r="E24" s="16" t="s">
        <v>252</v>
      </c>
      <c r="F24" s="16" t="s">
        <v>253</v>
      </c>
      <c r="G24" s="16" t="s">
        <v>254</v>
      </c>
      <c r="H24" s="16" t="s">
        <v>255</v>
      </c>
      <c r="I24" s="23" t="s">
        <v>46</v>
      </c>
      <c r="J24" s="15" t="s">
        <v>77</v>
      </c>
      <c r="K24" s="15" t="s">
        <v>115</v>
      </c>
      <c r="L24" s="16" t="s">
        <v>256</v>
      </c>
      <c r="M24" s="24" t="s">
        <v>9</v>
      </c>
      <c r="N24" s="16" t="s">
        <v>117</v>
      </c>
      <c r="O24" s="15" t="s">
        <v>118</v>
      </c>
      <c r="P24" s="16" t="s">
        <v>186</v>
      </c>
    </row>
    <row r="25" spans="1:16" ht="90" x14ac:dyDescent="0.2">
      <c r="A25" s="15" t="s">
        <v>257</v>
      </c>
      <c r="B25" s="16" t="s">
        <v>15</v>
      </c>
      <c r="C25" s="15" t="s">
        <v>250</v>
      </c>
      <c r="D25" s="16" t="s">
        <v>258</v>
      </c>
      <c r="E25" s="16" t="s">
        <v>259</v>
      </c>
      <c r="F25" s="16" t="s">
        <v>260</v>
      </c>
      <c r="G25" s="16" t="s">
        <v>261</v>
      </c>
      <c r="H25" s="16" t="s">
        <v>262</v>
      </c>
      <c r="I25" s="27" t="s">
        <v>49</v>
      </c>
      <c r="J25" s="15" t="s">
        <v>77</v>
      </c>
      <c r="K25" s="15" t="s">
        <v>115</v>
      </c>
      <c r="L25" s="16" t="s">
        <v>263</v>
      </c>
      <c r="M25" s="24" t="s">
        <v>9</v>
      </c>
      <c r="N25" s="16" t="s">
        <v>117</v>
      </c>
      <c r="O25" s="15" t="s">
        <v>118</v>
      </c>
      <c r="P25" s="16" t="s">
        <v>264</v>
      </c>
    </row>
    <row r="26" spans="1:16" ht="75" x14ac:dyDescent="0.2">
      <c r="A26" s="15" t="s">
        <v>265</v>
      </c>
      <c r="B26" s="16" t="s">
        <v>15</v>
      </c>
      <c r="C26" s="15" t="s">
        <v>250</v>
      </c>
      <c r="D26" s="16" t="s">
        <v>266</v>
      </c>
      <c r="E26" s="16" t="s">
        <v>267</v>
      </c>
      <c r="F26" s="16" t="s">
        <v>268</v>
      </c>
      <c r="G26" s="16" t="s">
        <v>269</v>
      </c>
      <c r="H26" s="16" t="s">
        <v>270</v>
      </c>
      <c r="I26" s="23" t="s">
        <v>46</v>
      </c>
      <c r="J26" s="15" t="s">
        <v>82</v>
      </c>
      <c r="K26" s="15" t="s">
        <v>115</v>
      </c>
      <c r="L26" s="16" t="s">
        <v>271</v>
      </c>
      <c r="M26" s="15" t="s">
        <v>12</v>
      </c>
      <c r="N26" s="16"/>
      <c r="O26" s="15"/>
      <c r="P26" s="16" t="s">
        <v>170</v>
      </c>
    </row>
  </sheetData>
  <autoFilter ref="A1:P26" xr:uid="{00000000-0009-0000-0000-000002000000}"/>
  <dataValidations count="1">
    <dataValidation type="list" allowBlank="1" sqref="M2:M26" xr:uid="{00000000-0002-0000-0200-000000000000}">
      <formula1>"Pass,Fail,Blocked,Chưa thực hiện"</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3"/>
  <sheetViews>
    <sheetView zoomScaleNormal="100" workbookViewId="0">
      <pane xSplit="4" ySplit="1" topLeftCell="E2" activePane="bottomRight" state="frozen"/>
      <selection pane="topRight" activeCell="E1" sqref="E1"/>
      <selection pane="bottomLeft" activeCell="A2" sqref="A2"/>
      <selection pane="bottomRight" activeCell="A9" sqref="A9:XFD9"/>
    </sheetView>
  </sheetViews>
  <sheetFormatPr baseColWidth="10" defaultColWidth="8.6640625" defaultRowHeight="15" x14ac:dyDescent="0.2"/>
  <cols>
    <col min="1" max="1" width="11" customWidth="1"/>
    <col min="2" max="2" width="24" customWidth="1"/>
    <col min="3" max="3" width="12" customWidth="1"/>
    <col min="4" max="4" width="34" customWidth="1"/>
    <col min="5" max="5" width="28" customWidth="1"/>
    <col min="6" max="6" width="30" customWidth="1"/>
    <col min="7" max="7" width="38" customWidth="1"/>
    <col min="8" max="8" width="46" customWidth="1"/>
    <col min="9" max="9" width="11" customWidth="1"/>
    <col min="10" max="11" width="12" customWidth="1"/>
    <col min="12" max="12" width="26" customWidth="1"/>
    <col min="13" max="14" width="14" customWidth="1"/>
    <col min="15" max="15" width="13" customWidth="1"/>
    <col min="16" max="16" width="20" customWidth="1"/>
  </cols>
  <sheetData>
    <row r="1" spans="1:16" ht="31.5" customHeight="1" x14ac:dyDescent="0.2">
      <c r="A1" s="14" t="s">
        <v>60</v>
      </c>
      <c r="B1" s="14" t="s">
        <v>6</v>
      </c>
      <c r="C1" s="14" t="s">
        <v>94</v>
      </c>
      <c r="D1" s="14" t="s">
        <v>95</v>
      </c>
      <c r="E1" s="14" t="s">
        <v>96</v>
      </c>
      <c r="F1" s="14" t="s">
        <v>97</v>
      </c>
      <c r="G1" s="14" t="s">
        <v>98</v>
      </c>
      <c r="H1" s="14" t="s">
        <v>99</v>
      </c>
      <c r="I1" s="14" t="s">
        <v>100</v>
      </c>
      <c r="J1" s="14" t="s">
        <v>101</v>
      </c>
      <c r="K1" s="14" t="s">
        <v>102</v>
      </c>
      <c r="L1" s="14" t="s">
        <v>103</v>
      </c>
      <c r="M1" s="14" t="s">
        <v>104</v>
      </c>
      <c r="N1" s="14" t="s">
        <v>105</v>
      </c>
      <c r="O1" s="14" t="s">
        <v>106</v>
      </c>
      <c r="P1" s="14" t="s">
        <v>107</v>
      </c>
    </row>
    <row r="2" spans="1:16" ht="45" x14ac:dyDescent="0.2">
      <c r="A2" s="15" t="s">
        <v>272</v>
      </c>
      <c r="B2" s="16" t="s">
        <v>17</v>
      </c>
      <c r="C2" s="15" t="s">
        <v>273</v>
      </c>
      <c r="D2" s="16" t="s">
        <v>274</v>
      </c>
      <c r="E2" s="16" t="s">
        <v>275</v>
      </c>
      <c r="F2" s="16" t="s">
        <v>276</v>
      </c>
      <c r="G2" s="16" t="s">
        <v>277</v>
      </c>
      <c r="H2" s="16" t="s">
        <v>278</v>
      </c>
      <c r="I2" s="23" t="s">
        <v>46</v>
      </c>
      <c r="J2" s="15" t="s">
        <v>77</v>
      </c>
      <c r="K2" s="15" t="s">
        <v>115</v>
      </c>
      <c r="L2" s="16" t="s">
        <v>279</v>
      </c>
      <c r="M2" s="24" t="s">
        <v>9</v>
      </c>
      <c r="N2" s="16" t="s">
        <v>117</v>
      </c>
      <c r="O2" s="15" t="s">
        <v>118</v>
      </c>
      <c r="P2" s="16"/>
    </row>
    <row r="3" spans="1:16" ht="75" x14ac:dyDescent="0.2">
      <c r="A3" s="15" t="s">
        <v>280</v>
      </c>
      <c r="B3" s="16" t="s">
        <v>17</v>
      </c>
      <c r="C3" s="15" t="s">
        <v>273</v>
      </c>
      <c r="D3" s="16" t="s">
        <v>281</v>
      </c>
      <c r="E3" s="16" t="s">
        <v>282</v>
      </c>
      <c r="F3" s="16" t="s">
        <v>283</v>
      </c>
      <c r="G3" s="16" t="s">
        <v>284</v>
      </c>
      <c r="H3" s="16" t="s">
        <v>285</v>
      </c>
      <c r="I3" s="23" t="s">
        <v>46</v>
      </c>
      <c r="J3" s="15" t="s">
        <v>77</v>
      </c>
      <c r="K3" s="15" t="s">
        <v>115</v>
      </c>
      <c r="L3" s="16" t="s">
        <v>286</v>
      </c>
      <c r="M3" s="24" t="s">
        <v>9</v>
      </c>
      <c r="N3" s="16" t="s">
        <v>117</v>
      </c>
      <c r="O3" s="15" t="s">
        <v>118</v>
      </c>
      <c r="P3" s="16" t="s">
        <v>186</v>
      </c>
    </row>
    <row r="4" spans="1:16" ht="75" x14ac:dyDescent="0.2">
      <c r="A4" s="15" t="s">
        <v>287</v>
      </c>
      <c r="B4" s="16" t="s">
        <v>17</v>
      </c>
      <c r="C4" s="15" t="s">
        <v>273</v>
      </c>
      <c r="D4" s="16" t="s">
        <v>288</v>
      </c>
      <c r="E4" s="16" t="s">
        <v>289</v>
      </c>
      <c r="F4" s="16" t="s">
        <v>290</v>
      </c>
      <c r="G4" s="16" t="s">
        <v>291</v>
      </c>
      <c r="H4" s="16" t="s">
        <v>292</v>
      </c>
      <c r="I4" s="23" t="s">
        <v>46</v>
      </c>
      <c r="J4" s="15" t="s">
        <v>82</v>
      </c>
      <c r="K4" s="15" t="s">
        <v>115</v>
      </c>
      <c r="L4" s="16" t="s">
        <v>293</v>
      </c>
      <c r="M4" s="15" t="s">
        <v>12</v>
      </c>
      <c r="N4" s="16"/>
      <c r="O4" s="15"/>
      <c r="P4" s="16" t="s">
        <v>150</v>
      </c>
    </row>
    <row r="5" spans="1:16" ht="75" x14ac:dyDescent="0.2">
      <c r="A5" s="15" t="s">
        <v>294</v>
      </c>
      <c r="B5" s="16" t="s">
        <v>17</v>
      </c>
      <c r="C5" s="15" t="s">
        <v>273</v>
      </c>
      <c r="D5" s="16" t="s">
        <v>295</v>
      </c>
      <c r="E5" s="16" t="s">
        <v>296</v>
      </c>
      <c r="F5" s="16" t="s">
        <v>297</v>
      </c>
      <c r="G5" s="16" t="s">
        <v>298</v>
      </c>
      <c r="H5" s="16" t="s">
        <v>299</v>
      </c>
      <c r="I5" s="25" t="s">
        <v>47</v>
      </c>
      <c r="J5" s="15" t="s">
        <v>82</v>
      </c>
      <c r="K5" s="15" t="s">
        <v>115</v>
      </c>
      <c r="L5" s="16" t="s">
        <v>300</v>
      </c>
      <c r="M5" s="15" t="s">
        <v>12</v>
      </c>
      <c r="N5" s="16"/>
      <c r="O5" s="15"/>
      <c r="P5" s="16" t="s">
        <v>150</v>
      </c>
    </row>
    <row r="6" spans="1:16" ht="60" x14ac:dyDescent="0.2">
      <c r="A6" s="15" t="s">
        <v>301</v>
      </c>
      <c r="B6" s="16" t="s">
        <v>17</v>
      </c>
      <c r="C6" s="15" t="s">
        <v>273</v>
      </c>
      <c r="D6" s="16" t="s">
        <v>302</v>
      </c>
      <c r="E6" s="16" t="s">
        <v>303</v>
      </c>
      <c r="F6" s="16" t="s">
        <v>304</v>
      </c>
      <c r="G6" s="16" t="s">
        <v>305</v>
      </c>
      <c r="H6" s="16" t="s">
        <v>306</v>
      </c>
      <c r="I6" s="23" t="s">
        <v>46</v>
      </c>
      <c r="J6" s="15" t="s">
        <v>77</v>
      </c>
      <c r="K6" s="15" t="s">
        <v>115</v>
      </c>
      <c r="L6" s="16" t="s">
        <v>307</v>
      </c>
      <c r="M6" s="24" t="s">
        <v>9</v>
      </c>
      <c r="N6" s="16" t="s">
        <v>117</v>
      </c>
      <c r="O6" s="15" t="s">
        <v>118</v>
      </c>
      <c r="P6" s="16" t="s">
        <v>308</v>
      </c>
    </row>
    <row r="7" spans="1:16" ht="30" x14ac:dyDescent="0.2">
      <c r="A7" s="15" t="s">
        <v>309</v>
      </c>
      <c r="B7" s="16" t="s">
        <v>17</v>
      </c>
      <c r="C7" s="15" t="s">
        <v>273</v>
      </c>
      <c r="D7" s="16" t="s">
        <v>310</v>
      </c>
      <c r="E7" s="16" t="s">
        <v>231</v>
      </c>
      <c r="F7" s="16" t="s">
        <v>311</v>
      </c>
      <c r="G7" s="16" t="s">
        <v>312</v>
      </c>
      <c r="H7" s="16" t="s">
        <v>313</v>
      </c>
      <c r="I7" s="25" t="s">
        <v>47</v>
      </c>
      <c r="J7" s="15" t="s">
        <v>82</v>
      </c>
      <c r="K7" s="15" t="s">
        <v>115</v>
      </c>
      <c r="L7" s="16" t="s">
        <v>314</v>
      </c>
      <c r="M7" s="24" t="s">
        <v>9</v>
      </c>
      <c r="N7" s="16" t="s">
        <v>117</v>
      </c>
      <c r="O7" s="15" t="s">
        <v>118</v>
      </c>
      <c r="P7" s="16"/>
    </row>
    <row r="8" spans="1:16" ht="45" x14ac:dyDescent="0.2">
      <c r="A8" s="15" t="s">
        <v>315</v>
      </c>
      <c r="B8" s="16" t="s">
        <v>17</v>
      </c>
      <c r="C8" s="15" t="s">
        <v>273</v>
      </c>
      <c r="D8" s="16" t="s">
        <v>316</v>
      </c>
      <c r="E8" s="16" t="s">
        <v>317</v>
      </c>
      <c r="F8" s="16" t="s">
        <v>318</v>
      </c>
      <c r="G8" s="16" t="s">
        <v>319</v>
      </c>
      <c r="H8" s="16" t="s">
        <v>320</v>
      </c>
      <c r="I8" s="23" t="s">
        <v>46</v>
      </c>
      <c r="J8" s="15" t="s">
        <v>77</v>
      </c>
      <c r="K8" s="15" t="s">
        <v>115</v>
      </c>
      <c r="L8" s="16" t="s">
        <v>321</v>
      </c>
      <c r="M8" s="24" t="s">
        <v>9</v>
      </c>
      <c r="N8" s="16" t="s">
        <v>117</v>
      </c>
      <c r="O8" s="15" t="s">
        <v>118</v>
      </c>
      <c r="P8" s="16"/>
    </row>
    <row r="9" spans="1:16" ht="60" x14ac:dyDescent="0.2">
      <c r="A9" s="15" t="s">
        <v>74</v>
      </c>
      <c r="B9" s="16" t="s">
        <v>17</v>
      </c>
      <c r="C9" s="15" t="s">
        <v>322</v>
      </c>
      <c r="D9" s="16" t="s">
        <v>323</v>
      </c>
      <c r="E9" s="16" t="s">
        <v>324</v>
      </c>
      <c r="F9" s="16" t="s">
        <v>325</v>
      </c>
      <c r="G9" s="16" t="s">
        <v>326</v>
      </c>
      <c r="H9" s="16" t="s">
        <v>327</v>
      </c>
      <c r="I9" s="23" t="s">
        <v>46</v>
      </c>
      <c r="J9" s="15" t="s">
        <v>77</v>
      </c>
      <c r="K9" s="15" t="s">
        <v>115</v>
      </c>
      <c r="L9" s="16" t="s">
        <v>328</v>
      </c>
      <c r="M9" s="30" t="s">
        <v>10</v>
      </c>
      <c r="N9" s="16" t="s">
        <v>117</v>
      </c>
      <c r="O9" s="15" t="s">
        <v>118</v>
      </c>
      <c r="P9" s="16" t="s">
        <v>329</v>
      </c>
    </row>
    <row r="10" spans="1:16" ht="30" x14ac:dyDescent="0.2">
      <c r="A10" s="15" t="s">
        <v>330</v>
      </c>
      <c r="B10" s="16" t="s">
        <v>17</v>
      </c>
      <c r="C10" s="15" t="s">
        <v>322</v>
      </c>
      <c r="D10" s="16" t="s">
        <v>331</v>
      </c>
      <c r="E10" s="16" t="s">
        <v>332</v>
      </c>
      <c r="F10" s="16" t="s">
        <v>333</v>
      </c>
      <c r="G10" s="16" t="s">
        <v>334</v>
      </c>
      <c r="H10" s="16" t="s">
        <v>335</v>
      </c>
      <c r="I10" s="25" t="s">
        <v>47</v>
      </c>
      <c r="J10" s="15" t="s">
        <v>77</v>
      </c>
      <c r="K10" s="15" t="s">
        <v>115</v>
      </c>
      <c r="L10" s="16" t="s">
        <v>336</v>
      </c>
      <c r="M10" s="24" t="s">
        <v>9</v>
      </c>
      <c r="N10" s="16" t="s">
        <v>117</v>
      </c>
      <c r="O10" s="15" t="s">
        <v>118</v>
      </c>
      <c r="P10" s="16"/>
    </row>
    <row r="11" spans="1:16" ht="75" x14ac:dyDescent="0.2">
      <c r="A11" s="15" t="s">
        <v>337</v>
      </c>
      <c r="B11" s="16" t="s">
        <v>17</v>
      </c>
      <c r="C11" s="15" t="s">
        <v>322</v>
      </c>
      <c r="D11" s="16" t="s">
        <v>338</v>
      </c>
      <c r="E11" s="16" t="s">
        <v>332</v>
      </c>
      <c r="F11" s="16" t="s">
        <v>339</v>
      </c>
      <c r="G11" s="16" t="s">
        <v>340</v>
      </c>
      <c r="H11" s="16" t="s">
        <v>341</v>
      </c>
      <c r="I11" s="27" t="s">
        <v>49</v>
      </c>
      <c r="J11" s="15" t="s">
        <v>77</v>
      </c>
      <c r="K11" s="15" t="s">
        <v>115</v>
      </c>
      <c r="L11" s="16" t="s">
        <v>342</v>
      </c>
      <c r="M11" s="24" t="s">
        <v>9</v>
      </c>
      <c r="N11" s="16" t="s">
        <v>117</v>
      </c>
      <c r="O11" s="15" t="s">
        <v>118</v>
      </c>
      <c r="P11" s="16" t="s">
        <v>264</v>
      </c>
    </row>
    <row r="12" spans="1:16" ht="60" x14ac:dyDescent="0.2">
      <c r="A12" s="15" t="s">
        <v>343</v>
      </c>
      <c r="B12" s="16" t="s">
        <v>17</v>
      </c>
      <c r="C12" s="15" t="s">
        <v>322</v>
      </c>
      <c r="D12" s="16" t="s">
        <v>344</v>
      </c>
      <c r="E12" s="16" t="s">
        <v>332</v>
      </c>
      <c r="F12" s="16" t="s">
        <v>345</v>
      </c>
      <c r="G12" s="16" t="s">
        <v>346</v>
      </c>
      <c r="H12" s="16" t="s">
        <v>347</v>
      </c>
      <c r="I12" s="28" t="s">
        <v>48</v>
      </c>
      <c r="J12" s="15" t="s">
        <v>77</v>
      </c>
      <c r="K12" s="15" t="s">
        <v>115</v>
      </c>
      <c r="L12" s="16" t="s">
        <v>348</v>
      </c>
      <c r="M12" s="24" t="s">
        <v>9</v>
      </c>
      <c r="N12" s="16" t="s">
        <v>117</v>
      </c>
      <c r="O12" s="15" t="s">
        <v>118</v>
      </c>
      <c r="P12" s="16" t="s">
        <v>264</v>
      </c>
    </row>
    <row r="13" spans="1:16" ht="30" x14ac:dyDescent="0.2">
      <c r="A13" s="15" t="s">
        <v>349</v>
      </c>
      <c r="B13" s="16" t="s">
        <v>17</v>
      </c>
      <c r="C13" s="15" t="s">
        <v>322</v>
      </c>
      <c r="D13" s="16" t="s">
        <v>350</v>
      </c>
      <c r="E13" s="16" t="s">
        <v>332</v>
      </c>
      <c r="F13" s="16" t="s">
        <v>351</v>
      </c>
      <c r="G13" s="16" t="s">
        <v>352</v>
      </c>
      <c r="H13" s="16" t="s">
        <v>353</v>
      </c>
      <c r="I13" s="23" t="s">
        <v>46</v>
      </c>
      <c r="J13" s="15" t="s">
        <v>77</v>
      </c>
      <c r="K13" s="15" t="s">
        <v>115</v>
      </c>
      <c r="L13" s="16" t="s">
        <v>354</v>
      </c>
      <c r="M13" s="24" t="s">
        <v>9</v>
      </c>
      <c r="N13" s="16" t="s">
        <v>117</v>
      </c>
      <c r="O13" s="15" t="s">
        <v>118</v>
      </c>
      <c r="P13" s="16"/>
    </row>
    <row r="14" spans="1:16" ht="75" x14ac:dyDescent="0.2">
      <c r="A14" s="15" t="s">
        <v>355</v>
      </c>
      <c r="B14" s="16" t="s">
        <v>17</v>
      </c>
      <c r="C14" s="15" t="s">
        <v>322</v>
      </c>
      <c r="D14" s="16" t="s">
        <v>356</v>
      </c>
      <c r="E14" s="16" t="s">
        <v>357</v>
      </c>
      <c r="F14" s="16" t="s">
        <v>358</v>
      </c>
      <c r="G14" s="16" t="s">
        <v>359</v>
      </c>
      <c r="H14" s="16" t="s">
        <v>360</v>
      </c>
      <c r="I14" s="23" t="s">
        <v>46</v>
      </c>
      <c r="J14" s="15" t="s">
        <v>77</v>
      </c>
      <c r="K14" s="15" t="s">
        <v>115</v>
      </c>
      <c r="L14" s="16" t="s">
        <v>361</v>
      </c>
      <c r="M14" s="24" t="s">
        <v>9</v>
      </c>
      <c r="N14" s="16" t="s">
        <v>117</v>
      </c>
      <c r="O14" s="15" t="s">
        <v>118</v>
      </c>
      <c r="P14" s="16"/>
    </row>
    <row r="15" spans="1:16" ht="30" x14ac:dyDescent="0.2">
      <c r="A15" s="15" t="s">
        <v>362</v>
      </c>
      <c r="B15" s="16" t="s">
        <v>17</v>
      </c>
      <c r="C15" s="15" t="s">
        <v>322</v>
      </c>
      <c r="D15" s="16" t="s">
        <v>363</v>
      </c>
      <c r="E15" s="16" t="s">
        <v>332</v>
      </c>
      <c r="F15" s="16" t="s">
        <v>364</v>
      </c>
      <c r="G15" s="16" t="s">
        <v>365</v>
      </c>
      <c r="H15" s="16" t="s">
        <v>366</v>
      </c>
      <c r="I15" s="23" t="s">
        <v>46</v>
      </c>
      <c r="J15" s="15" t="s">
        <v>77</v>
      </c>
      <c r="K15" s="15" t="s">
        <v>115</v>
      </c>
      <c r="L15" s="16" t="s">
        <v>367</v>
      </c>
      <c r="M15" s="24" t="s">
        <v>9</v>
      </c>
      <c r="N15" s="16" t="s">
        <v>117</v>
      </c>
      <c r="O15" s="15" t="s">
        <v>118</v>
      </c>
      <c r="P15" s="16"/>
    </row>
    <row r="16" spans="1:16" ht="30" x14ac:dyDescent="0.2">
      <c r="A16" s="15" t="s">
        <v>368</v>
      </c>
      <c r="B16" s="16" t="s">
        <v>17</v>
      </c>
      <c r="C16" s="15" t="s">
        <v>322</v>
      </c>
      <c r="D16" s="16" t="s">
        <v>369</v>
      </c>
      <c r="E16" s="16" t="s">
        <v>370</v>
      </c>
      <c r="F16" s="16" t="s">
        <v>371</v>
      </c>
      <c r="G16" s="16" t="s">
        <v>372</v>
      </c>
      <c r="H16" s="16" t="s">
        <v>373</v>
      </c>
      <c r="I16" s="25" t="s">
        <v>47</v>
      </c>
      <c r="J16" s="15" t="s">
        <v>82</v>
      </c>
      <c r="K16" s="15" t="s">
        <v>115</v>
      </c>
      <c r="L16" s="16" t="s">
        <v>374</v>
      </c>
      <c r="M16" s="24" t="s">
        <v>9</v>
      </c>
      <c r="N16" s="16" t="s">
        <v>117</v>
      </c>
      <c r="O16" s="15" t="s">
        <v>118</v>
      </c>
      <c r="P16" s="16"/>
    </row>
    <row r="17" spans="1:16" ht="60" x14ac:dyDescent="0.2">
      <c r="A17" s="15" t="s">
        <v>375</v>
      </c>
      <c r="B17" s="16" t="s">
        <v>17</v>
      </c>
      <c r="C17" s="15" t="s">
        <v>322</v>
      </c>
      <c r="D17" s="16" t="s">
        <v>376</v>
      </c>
      <c r="E17" s="16" t="s">
        <v>377</v>
      </c>
      <c r="F17" s="16" t="s">
        <v>378</v>
      </c>
      <c r="G17" s="16" t="s">
        <v>379</v>
      </c>
      <c r="H17" s="16" t="s">
        <v>380</v>
      </c>
      <c r="I17" s="23" t="s">
        <v>46</v>
      </c>
      <c r="J17" s="15" t="s">
        <v>82</v>
      </c>
      <c r="K17" s="15" t="s">
        <v>115</v>
      </c>
      <c r="L17" s="16" t="s">
        <v>381</v>
      </c>
      <c r="M17" s="24" t="s">
        <v>9</v>
      </c>
      <c r="N17" s="16" t="s">
        <v>117</v>
      </c>
      <c r="O17" s="15" t="s">
        <v>118</v>
      </c>
      <c r="P17" s="16" t="s">
        <v>308</v>
      </c>
    </row>
    <row r="18" spans="1:16" ht="60" x14ac:dyDescent="0.2">
      <c r="A18" s="15" t="s">
        <v>382</v>
      </c>
      <c r="B18" s="16" t="s">
        <v>17</v>
      </c>
      <c r="C18" s="15" t="s">
        <v>383</v>
      </c>
      <c r="D18" s="16" t="s">
        <v>384</v>
      </c>
      <c r="E18" s="16" t="s">
        <v>385</v>
      </c>
      <c r="F18" s="16" t="s">
        <v>194</v>
      </c>
      <c r="G18" s="16" t="s">
        <v>386</v>
      </c>
      <c r="H18" s="16" t="s">
        <v>387</v>
      </c>
      <c r="I18" s="23" t="s">
        <v>46</v>
      </c>
      <c r="J18" s="15" t="s">
        <v>77</v>
      </c>
      <c r="K18" s="15" t="s">
        <v>115</v>
      </c>
      <c r="L18" s="16" t="s">
        <v>388</v>
      </c>
      <c r="M18" s="24" t="s">
        <v>9</v>
      </c>
      <c r="N18" s="16" t="s">
        <v>117</v>
      </c>
      <c r="O18" s="15" t="s">
        <v>118</v>
      </c>
      <c r="P18" s="16"/>
    </row>
    <row r="19" spans="1:16" ht="105" x14ac:dyDescent="0.2">
      <c r="A19" s="15" t="s">
        <v>389</v>
      </c>
      <c r="B19" s="16" t="s">
        <v>17</v>
      </c>
      <c r="C19" s="15" t="s">
        <v>383</v>
      </c>
      <c r="D19" s="16" t="s">
        <v>390</v>
      </c>
      <c r="E19" s="16" t="s">
        <v>391</v>
      </c>
      <c r="F19" s="16" t="s">
        <v>392</v>
      </c>
      <c r="G19" s="16" t="s">
        <v>393</v>
      </c>
      <c r="H19" s="16" t="s">
        <v>394</v>
      </c>
      <c r="I19" s="23" t="s">
        <v>46</v>
      </c>
      <c r="J19" s="15" t="s">
        <v>77</v>
      </c>
      <c r="K19" s="15" t="s">
        <v>115</v>
      </c>
      <c r="L19" s="16" t="s">
        <v>395</v>
      </c>
      <c r="M19" s="24" t="s">
        <v>9</v>
      </c>
      <c r="N19" s="16" t="s">
        <v>117</v>
      </c>
      <c r="O19" s="15" t="s">
        <v>118</v>
      </c>
      <c r="P19" s="16"/>
    </row>
    <row r="20" spans="1:16" ht="30" x14ac:dyDescent="0.2">
      <c r="A20" s="15" t="s">
        <v>396</v>
      </c>
      <c r="B20" s="16" t="s">
        <v>17</v>
      </c>
      <c r="C20" s="15" t="s">
        <v>383</v>
      </c>
      <c r="D20" s="16" t="s">
        <v>397</v>
      </c>
      <c r="E20" s="16" t="s">
        <v>398</v>
      </c>
      <c r="F20" s="16" t="s">
        <v>399</v>
      </c>
      <c r="G20" s="16" t="s">
        <v>400</v>
      </c>
      <c r="H20" s="16" t="s">
        <v>401</v>
      </c>
      <c r="I20" s="27" t="s">
        <v>49</v>
      </c>
      <c r="J20" s="15" t="s">
        <v>77</v>
      </c>
      <c r="K20" s="15" t="s">
        <v>115</v>
      </c>
      <c r="L20" s="16" t="s">
        <v>402</v>
      </c>
      <c r="M20" s="24" t="s">
        <v>9</v>
      </c>
      <c r="N20" s="16" t="s">
        <v>117</v>
      </c>
      <c r="O20" s="15" t="s">
        <v>118</v>
      </c>
      <c r="P20" s="16"/>
    </row>
    <row r="21" spans="1:16" ht="90" x14ac:dyDescent="0.2">
      <c r="A21" s="15" t="s">
        <v>403</v>
      </c>
      <c r="B21" s="16" t="s">
        <v>17</v>
      </c>
      <c r="C21" s="15" t="s">
        <v>383</v>
      </c>
      <c r="D21" s="16" t="s">
        <v>404</v>
      </c>
      <c r="E21" s="16" t="s">
        <v>405</v>
      </c>
      <c r="F21" s="16" t="s">
        <v>406</v>
      </c>
      <c r="G21" s="16" t="s">
        <v>407</v>
      </c>
      <c r="H21" s="16" t="s">
        <v>408</v>
      </c>
      <c r="I21" s="23" t="s">
        <v>46</v>
      </c>
      <c r="J21" s="15" t="s">
        <v>82</v>
      </c>
      <c r="K21" s="15" t="s">
        <v>115</v>
      </c>
      <c r="L21" s="16" t="s">
        <v>409</v>
      </c>
      <c r="M21" s="15" t="s">
        <v>12</v>
      </c>
      <c r="N21" s="16"/>
      <c r="O21" s="15"/>
      <c r="P21" s="16" t="s">
        <v>410</v>
      </c>
    </row>
    <row r="22" spans="1:16" ht="60" x14ac:dyDescent="0.2">
      <c r="A22" s="15" t="s">
        <v>411</v>
      </c>
      <c r="B22" s="16" t="s">
        <v>17</v>
      </c>
      <c r="C22" s="15" t="s">
        <v>412</v>
      </c>
      <c r="D22" s="16" t="s">
        <v>413</v>
      </c>
      <c r="E22" s="16" t="s">
        <v>414</v>
      </c>
      <c r="F22" s="16" t="s">
        <v>415</v>
      </c>
      <c r="G22" s="16" t="s">
        <v>416</v>
      </c>
      <c r="H22" s="16" t="s">
        <v>417</v>
      </c>
      <c r="I22" s="23" t="s">
        <v>46</v>
      </c>
      <c r="J22" s="15" t="s">
        <v>77</v>
      </c>
      <c r="K22" s="15" t="s">
        <v>115</v>
      </c>
      <c r="L22" s="16" t="s">
        <v>418</v>
      </c>
      <c r="M22" s="24" t="s">
        <v>9</v>
      </c>
      <c r="N22" s="16" t="s">
        <v>117</v>
      </c>
      <c r="O22" s="15" t="s">
        <v>118</v>
      </c>
      <c r="P22" s="16" t="s">
        <v>308</v>
      </c>
    </row>
    <row r="23" spans="1:16" ht="90" x14ac:dyDescent="0.2">
      <c r="A23" s="15" t="s">
        <v>419</v>
      </c>
      <c r="B23" s="16" t="s">
        <v>17</v>
      </c>
      <c r="C23" s="15" t="s">
        <v>412</v>
      </c>
      <c r="D23" s="16" t="s">
        <v>420</v>
      </c>
      <c r="E23" s="16" t="s">
        <v>332</v>
      </c>
      <c r="F23" s="16" t="s">
        <v>421</v>
      </c>
      <c r="G23" s="16" t="s">
        <v>422</v>
      </c>
      <c r="H23" s="16" t="s">
        <v>423</v>
      </c>
      <c r="I23" s="23" t="s">
        <v>46</v>
      </c>
      <c r="J23" s="15" t="s">
        <v>77</v>
      </c>
      <c r="K23" s="15" t="s">
        <v>115</v>
      </c>
      <c r="L23" s="16" t="s">
        <v>424</v>
      </c>
      <c r="M23" s="24" t="s">
        <v>9</v>
      </c>
      <c r="N23" s="16" t="s">
        <v>117</v>
      </c>
      <c r="O23" s="15" t="s">
        <v>118</v>
      </c>
      <c r="P23" s="16" t="s">
        <v>308</v>
      </c>
    </row>
  </sheetData>
  <autoFilter ref="A1:P23" xr:uid="{00000000-0009-0000-0000-000003000000}"/>
  <dataValidations count="1">
    <dataValidation type="list" allowBlank="1" sqref="M2:M23" xr:uid="{00000000-0002-0000-0300-000000000000}">
      <formula1>"Pass,Fail,Blocked,Chưa thực hiện"</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3"/>
  <sheetViews>
    <sheetView zoomScaleNormal="100" workbookViewId="0">
      <pane xSplit="4" ySplit="1" topLeftCell="E2" activePane="bottomRight" state="frozen"/>
      <selection pane="topRight" activeCell="E1" sqref="E1"/>
      <selection pane="bottomLeft" activeCell="A2" sqref="A2"/>
      <selection pane="bottomRight"/>
    </sheetView>
  </sheetViews>
  <sheetFormatPr baseColWidth="10" defaultColWidth="8.6640625" defaultRowHeight="15" x14ac:dyDescent="0.2"/>
  <cols>
    <col min="1" max="1" width="11" customWidth="1"/>
    <col min="2" max="2" width="24" customWidth="1"/>
    <col min="3" max="3" width="12" customWidth="1"/>
    <col min="4" max="4" width="34" customWidth="1"/>
    <col min="5" max="5" width="28" customWidth="1"/>
    <col min="6" max="6" width="30" customWidth="1"/>
    <col min="7" max="7" width="38" customWidth="1"/>
    <col min="8" max="8" width="46" customWidth="1"/>
    <col min="9" max="9" width="11" customWidth="1"/>
    <col min="10" max="11" width="12" customWidth="1"/>
    <col min="12" max="12" width="26" customWidth="1"/>
    <col min="13" max="14" width="14" customWidth="1"/>
    <col min="15" max="15" width="13" customWidth="1"/>
    <col min="16" max="16" width="20" customWidth="1"/>
  </cols>
  <sheetData>
    <row r="1" spans="1:16" ht="31.5" customHeight="1" x14ac:dyDescent="0.2">
      <c r="A1" s="14" t="s">
        <v>60</v>
      </c>
      <c r="B1" s="14" t="s">
        <v>6</v>
      </c>
      <c r="C1" s="14" t="s">
        <v>94</v>
      </c>
      <c r="D1" s="14" t="s">
        <v>95</v>
      </c>
      <c r="E1" s="14" t="s">
        <v>96</v>
      </c>
      <c r="F1" s="14" t="s">
        <v>97</v>
      </c>
      <c r="G1" s="14" t="s">
        <v>98</v>
      </c>
      <c r="H1" s="14" t="s">
        <v>99</v>
      </c>
      <c r="I1" s="14" t="s">
        <v>100</v>
      </c>
      <c r="J1" s="14" t="s">
        <v>101</v>
      </c>
      <c r="K1" s="14" t="s">
        <v>102</v>
      </c>
      <c r="L1" s="14" t="s">
        <v>103</v>
      </c>
      <c r="M1" s="14" t="s">
        <v>104</v>
      </c>
      <c r="N1" s="14" t="s">
        <v>105</v>
      </c>
      <c r="O1" s="14" t="s">
        <v>106</v>
      </c>
      <c r="P1" s="14" t="s">
        <v>107</v>
      </c>
    </row>
    <row r="2" spans="1:16" ht="75" x14ac:dyDescent="0.2">
      <c r="A2" s="15" t="s">
        <v>425</v>
      </c>
      <c r="B2" s="16" t="s">
        <v>19</v>
      </c>
      <c r="C2" s="15" t="s">
        <v>426</v>
      </c>
      <c r="D2" s="16" t="s">
        <v>427</v>
      </c>
      <c r="E2" s="16" t="s">
        <v>428</v>
      </c>
      <c r="F2" s="16" t="s">
        <v>429</v>
      </c>
      <c r="G2" s="16" t="s">
        <v>430</v>
      </c>
      <c r="H2" s="16" t="s">
        <v>431</v>
      </c>
      <c r="I2" s="23" t="s">
        <v>46</v>
      </c>
      <c r="J2" s="15" t="s">
        <v>77</v>
      </c>
      <c r="K2" s="15" t="s">
        <v>115</v>
      </c>
      <c r="L2" s="16" t="s">
        <v>432</v>
      </c>
      <c r="M2" s="15" t="s">
        <v>12</v>
      </c>
      <c r="N2" s="16"/>
      <c r="O2" s="15"/>
      <c r="P2" s="16" t="s">
        <v>150</v>
      </c>
    </row>
    <row r="3" spans="1:16" ht="75" x14ac:dyDescent="0.2">
      <c r="A3" s="15" t="s">
        <v>433</v>
      </c>
      <c r="B3" s="16" t="s">
        <v>19</v>
      </c>
      <c r="C3" s="15" t="s">
        <v>426</v>
      </c>
      <c r="D3" s="16" t="s">
        <v>434</v>
      </c>
      <c r="E3" s="16" t="s">
        <v>435</v>
      </c>
      <c r="F3" s="16" t="s">
        <v>436</v>
      </c>
      <c r="G3" s="16" t="s">
        <v>437</v>
      </c>
      <c r="H3" s="16" t="s">
        <v>438</v>
      </c>
      <c r="I3" s="25" t="s">
        <v>47</v>
      </c>
      <c r="J3" s="15" t="s">
        <v>77</v>
      </c>
      <c r="K3" s="15" t="s">
        <v>115</v>
      </c>
      <c r="L3" s="16" t="s">
        <v>432</v>
      </c>
      <c r="M3" s="15" t="s">
        <v>12</v>
      </c>
      <c r="N3" s="16"/>
      <c r="O3" s="15"/>
      <c r="P3" s="16" t="s">
        <v>150</v>
      </c>
    </row>
    <row r="4" spans="1:16" ht="75" x14ac:dyDescent="0.2">
      <c r="A4" s="15" t="s">
        <v>439</v>
      </c>
      <c r="B4" s="16" t="s">
        <v>19</v>
      </c>
      <c r="C4" s="15" t="s">
        <v>426</v>
      </c>
      <c r="D4" s="16" t="s">
        <v>440</v>
      </c>
      <c r="E4" s="16" t="s">
        <v>441</v>
      </c>
      <c r="F4" s="16" t="s">
        <v>442</v>
      </c>
      <c r="G4" s="16" t="s">
        <v>443</v>
      </c>
      <c r="H4" s="16" t="s">
        <v>444</v>
      </c>
      <c r="I4" s="28" t="s">
        <v>48</v>
      </c>
      <c r="J4" s="15" t="s">
        <v>77</v>
      </c>
      <c r="K4" s="15" t="s">
        <v>115</v>
      </c>
      <c r="L4" s="16" t="s">
        <v>432</v>
      </c>
      <c r="M4" s="15" t="s">
        <v>12</v>
      </c>
      <c r="N4" s="16"/>
      <c r="O4" s="15"/>
      <c r="P4" s="16" t="s">
        <v>150</v>
      </c>
    </row>
    <row r="5" spans="1:16" ht="75" x14ac:dyDescent="0.2">
      <c r="A5" s="15" t="s">
        <v>445</v>
      </c>
      <c r="B5" s="16" t="s">
        <v>19</v>
      </c>
      <c r="C5" s="15" t="s">
        <v>426</v>
      </c>
      <c r="D5" s="16" t="s">
        <v>446</v>
      </c>
      <c r="E5" s="16" t="s">
        <v>447</v>
      </c>
      <c r="F5" s="16" t="s">
        <v>448</v>
      </c>
      <c r="G5" s="16" t="s">
        <v>449</v>
      </c>
      <c r="H5" s="16" t="s">
        <v>450</v>
      </c>
      <c r="I5" s="28" t="s">
        <v>48</v>
      </c>
      <c r="J5" s="15" t="s">
        <v>82</v>
      </c>
      <c r="K5" s="15" t="s">
        <v>115</v>
      </c>
      <c r="L5" s="16" t="s">
        <v>432</v>
      </c>
      <c r="M5" s="15" t="s">
        <v>12</v>
      </c>
      <c r="N5" s="16"/>
      <c r="O5" s="15"/>
      <c r="P5" s="16" t="s">
        <v>150</v>
      </c>
    </row>
    <row r="6" spans="1:16" ht="75" x14ac:dyDescent="0.2">
      <c r="A6" s="15" t="s">
        <v>451</v>
      </c>
      <c r="B6" s="16" t="s">
        <v>19</v>
      </c>
      <c r="C6" s="15" t="s">
        <v>426</v>
      </c>
      <c r="D6" s="16" t="s">
        <v>452</v>
      </c>
      <c r="E6" s="16" t="s">
        <v>453</v>
      </c>
      <c r="F6" s="16" t="s">
        <v>454</v>
      </c>
      <c r="G6" s="16" t="s">
        <v>455</v>
      </c>
      <c r="H6" s="16" t="s">
        <v>456</v>
      </c>
      <c r="I6" s="23" t="s">
        <v>46</v>
      </c>
      <c r="J6" s="15" t="s">
        <v>77</v>
      </c>
      <c r="K6" s="15" t="s">
        <v>115</v>
      </c>
      <c r="L6" s="16" t="s">
        <v>432</v>
      </c>
      <c r="M6" s="15" t="s">
        <v>12</v>
      </c>
      <c r="N6" s="16"/>
      <c r="O6" s="15"/>
      <c r="P6" s="16" t="s">
        <v>150</v>
      </c>
    </row>
    <row r="7" spans="1:16" ht="120" x14ac:dyDescent="0.2">
      <c r="A7" s="15" t="s">
        <v>457</v>
      </c>
      <c r="B7" s="16" t="s">
        <v>19</v>
      </c>
      <c r="C7" s="15" t="s">
        <v>458</v>
      </c>
      <c r="D7" s="16" t="s">
        <v>459</v>
      </c>
      <c r="E7" s="16" t="s">
        <v>460</v>
      </c>
      <c r="F7" s="16" t="s">
        <v>461</v>
      </c>
      <c r="G7" s="16" t="s">
        <v>462</v>
      </c>
      <c r="H7" s="16" t="s">
        <v>463</v>
      </c>
      <c r="I7" s="23" t="s">
        <v>46</v>
      </c>
      <c r="J7" s="15" t="s">
        <v>77</v>
      </c>
      <c r="K7" s="15" t="s">
        <v>115</v>
      </c>
      <c r="L7" s="16" t="s">
        <v>464</v>
      </c>
      <c r="M7" s="24" t="s">
        <v>9</v>
      </c>
      <c r="N7" s="16" t="s">
        <v>117</v>
      </c>
      <c r="O7" s="15" t="s">
        <v>118</v>
      </c>
      <c r="P7" s="16" t="s">
        <v>308</v>
      </c>
    </row>
    <row r="8" spans="1:16" ht="60" x14ac:dyDescent="0.2">
      <c r="A8" s="15" t="s">
        <v>465</v>
      </c>
      <c r="B8" s="16" t="s">
        <v>19</v>
      </c>
      <c r="C8" s="15" t="s">
        <v>458</v>
      </c>
      <c r="D8" s="16" t="s">
        <v>466</v>
      </c>
      <c r="E8" s="16" t="s">
        <v>467</v>
      </c>
      <c r="F8" s="16" t="s">
        <v>468</v>
      </c>
      <c r="G8" s="16" t="s">
        <v>469</v>
      </c>
      <c r="H8" s="16" t="s">
        <v>470</v>
      </c>
      <c r="I8" s="23" t="s">
        <v>46</v>
      </c>
      <c r="J8" s="15" t="s">
        <v>77</v>
      </c>
      <c r="K8" s="15" t="s">
        <v>115</v>
      </c>
      <c r="L8" s="16" t="s">
        <v>471</v>
      </c>
      <c r="M8" s="24" t="s">
        <v>9</v>
      </c>
      <c r="N8" s="16" t="s">
        <v>117</v>
      </c>
      <c r="O8" s="15" t="s">
        <v>118</v>
      </c>
      <c r="P8" s="16" t="s">
        <v>308</v>
      </c>
    </row>
    <row r="9" spans="1:16" ht="30" x14ac:dyDescent="0.2">
      <c r="A9" s="15" t="s">
        <v>472</v>
      </c>
      <c r="B9" s="16" t="s">
        <v>19</v>
      </c>
      <c r="C9" s="15" t="s">
        <v>458</v>
      </c>
      <c r="D9" s="16" t="s">
        <v>473</v>
      </c>
      <c r="E9" s="16" t="s">
        <v>474</v>
      </c>
      <c r="F9" s="16" t="s">
        <v>475</v>
      </c>
      <c r="G9" s="16" t="s">
        <v>476</v>
      </c>
      <c r="H9" s="16" t="s">
        <v>477</v>
      </c>
      <c r="I9" s="25" t="s">
        <v>47</v>
      </c>
      <c r="J9" s="15" t="s">
        <v>77</v>
      </c>
      <c r="K9" s="15" t="s">
        <v>115</v>
      </c>
      <c r="L9" s="16" t="s">
        <v>478</v>
      </c>
      <c r="M9" s="24" t="s">
        <v>9</v>
      </c>
      <c r="N9" s="16" t="s">
        <v>117</v>
      </c>
      <c r="O9" s="15" t="s">
        <v>118</v>
      </c>
      <c r="P9" s="16"/>
    </row>
    <row r="10" spans="1:16" ht="30" x14ac:dyDescent="0.2">
      <c r="A10" s="15" t="s">
        <v>479</v>
      </c>
      <c r="B10" s="16" t="s">
        <v>19</v>
      </c>
      <c r="C10" s="15" t="s">
        <v>458</v>
      </c>
      <c r="D10" s="16" t="s">
        <v>480</v>
      </c>
      <c r="E10" s="16" t="s">
        <v>481</v>
      </c>
      <c r="F10" s="16" t="s">
        <v>482</v>
      </c>
      <c r="G10" s="16" t="s">
        <v>476</v>
      </c>
      <c r="H10" s="16" t="s">
        <v>483</v>
      </c>
      <c r="I10" s="25" t="s">
        <v>47</v>
      </c>
      <c r="J10" s="15" t="s">
        <v>77</v>
      </c>
      <c r="K10" s="15" t="s">
        <v>115</v>
      </c>
      <c r="L10" s="16" t="s">
        <v>484</v>
      </c>
      <c r="M10" s="24" t="s">
        <v>9</v>
      </c>
      <c r="N10" s="16" t="s">
        <v>117</v>
      </c>
      <c r="O10" s="15" t="s">
        <v>118</v>
      </c>
      <c r="P10" s="16"/>
    </row>
    <row r="11" spans="1:16" ht="30" x14ac:dyDescent="0.2">
      <c r="A11" s="15" t="s">
        <v>485</v>
      </c>
      <c r="B11" s="16" t="s">
        <v>19</v>
      </c>
      <c r="C11" s="15" t="s">
        <v>458</v>
      </c>
      <c r="D11" s="16" t="s">
        <v>486</v>
      </c>
      <c r="E11" s="16" t="s">
        <v>487</v>
      </c>
      <c r="F11" s="16" t="s">
        <v>488</v>
      </c>
      <c r="G11" s="16" t="s">
        <v>489</v>
      </c>
      <c r="H11" s="16" t="s">
        <v>490</v>
      </c>
      <c r="I11" s="25" t="s">
        <v>47</v>
      </c>
      <c r="J11" s="15" t="s">
        <v>77</v>
      </c>
      <c r="K11" s="15" t="s">
        <v>115</v>
      </c>
      <c r="L11" s="16" t="s">
        <v>491</v>
      </c>
      <c r="M11" s="24" t="s">
        <v>9</v>
      </c>
      <c r="N11" s="16" t="s">
        <v>117</v>
      </c>
      <c r="O11" s="15" t="s">
        <v>118</v>
      </c>
      <c r="P11" s="16"/>
    </row>
    <row r="12" spans="1:16" ht="30" x14ac:dyDescent="0.2">
      <c r="A12" s="15" t="s">
        <v>492</v>
      </c>
      <c r="B12" s="16" t="s">
        <v>19</v>
      </c>
      <c r="C12" s="15" t="s">
        <v>458</v>
      </c>
      <c r="D12" s="16" t="s">
        <v>493</v>
      </c>
      <c r="E12" s="16" t="s">
        <v>231</v>
      </c>
      <c r="F12" s="16" t="s">
        <v>494</v>
      </c>
      <c r="G12" s="16" t="s">
        <v>495</v>
      </c>
      <c r="H12" s="16" t="s">
        <v>496</v>
      </c>
      <c r="I12" s="27" t="s">
        <v>49</v>
      </c>
      <c r="J12" s="15" t="s">
        <v>77</v>
      </c>
      <c r="K12" s="15" t="s">
        <v>115</v>
      </c>
      <c r="L12" s="16" t="s">
        <v>497</v>
      </c>
      <c r="M12" s="24" t="s">
        <v>9</v>
      </c>
      <c r="N12" s="16" t="s">
        <v>117</v>
      </c>
      <c r="O12" s="15" t="s">
        <v>118</v>
      </c>
      <c r="P12" s="16"/>
    </row>
    <row r="13" spans="1:16" ht="60" x14ac:dyDescent="0.2">
      <c r="A13" s="15" t="s">
        <v>498</v>
      </c>
      <c r="B13" s="16" t="s">
        <v>19</v>
      </c>
      <c r="C13" s="15" t="s">
        <v>458</v>
      </c>
      <c r="D13" s="16" t="s">
        <v>499</v>
      </c>
      <c r="E13" s="16" t="s">
        <v>500</v>
      </c>
      <c r="F13" s="16" t="s">
        <v>501</v>
      </c>
      <c r="G13" s="16" t="s">
        <v>502</v>
      </c>
      <c r="H13" s="16" t="s">
        <v>503</v>
      </c>
      <c r="I13" s="28" t="s">
        <v>48</v>
      </c>
      <c r="J13" s="15" t="s">
        <v>77</v>
      </c>
      <c r="K13" s="15" t="s">
        <v>115</v>
      </c>
      <c r="L13" s="16" t="s">
        <v>504</v>
      </c>
      <c r="M13" s="24" t="s">
        <v>9</v>
      </c>
      <c r="N13" s="16" t="s">
        <v>117</v>
      </c>
      <c r="O13" s="15" t="s">
        <v>118</v>
      </c>
      <c r="P13" s="16" t="s">
        <v>505</v>
      </c>
    </row>
    <row r="14" spans="1:16" ht="45" x14ac:dyDescent="0.2">
      <c r="A14" s="15" t="s">
        <v>506</v>
      </c>
      <c r="B14" s="16" t="s">
        <v>19</v>
      </c>
      <c r="C14" s="15" t="s">
        <v>458</v>
      </c>
      <c r="D14" s="16" t="s">
        <v>507</v>
      </c>
      <c r="E14" s="16" t="s">
        <v>508</v>
      </c>
      <c r="F14" s="16" t="s">
        <v>509</v>
      </c>
      <c r="G14" s="16" t="s">
        <v>510</v>
      </c>
      <c r="H14" s="16" t="s">
        <v>511</v>
      </c>
      <c r="I14" s="25" t="s">
        <v>47</v>
      </c>
      <c r="J14" s="15" t="s">
        <v>77</v>
      </c>
      <c r="K14" s="15" t="s">
        <v>115</v>
      </c>
      <c r="L14" s="16" t="s">
        <v>512</v>
      </c>
      <c r="M14" s="24" t="s">
        <v>9</v>
      </c>
      <c r="N14" s="16" t="s">
        <v>117</v>
      </c>
      <c r="O14" s="15" t="s">
        <v>118</v>
      </c>
      <c r="P14" s="16" t="s">
        <v>505</v>
      </c>
    </row>
    <row r="15" spans="1:16" ht="45" x14ac:dyDescent="0.2">
      <c r="A15" s="15" t="s">
        <v>513</v>
      </c>
      <c r="B15" s="16" t="s">
        <v>19</v>
      </c>
      <c r="C15" s="15" t="s">
        <v>458</v>
      </c>
      <c r="D15" s="16" t="s">
        <v>514</v>
      </c>
      <c r="E15" s="16" t="s">
        <v>515</v>
      </c>
      <c r="F15" s="16" t="s">
        <v>516</v>
      </c>
      <c r="G15" s="16" t="s">
        <v>517</v>
      </c>
      <c r="H15" s="16" t="s">
        <v>518</v>
      </c>
      <c r="I15" s="28" t="s">
        <v>48</v>
      </c>
      <c r="J15" s="15" t="s">
        <v>77</v>
      </c>
      <c r="K15" s="15" t="s">
        <v>57</v>
      </c>
      <c r="L15" s="16" t="s">
        <v>519</v>
      </c>
      <c r="M15" s="24" t="s">
        <v>9</v>
      </c>
      <c r="N15" s="16" t="s">
        <v>117</v>
      </c>
      <c r="O15" s="15" t="s">
        <v>118</v>
      </c>
      <c r="P15" s="16" t="s">
        <v>520</v>
      </c>
    </row>
    <row r="16" spans="1:16" ht="60" x14ac:dyDescent="0.2">
      <c r="A16" s="15" t="s">
        <v>521</v>
      </c>
      <c r="B16" s="16" t="s">
        <v>19</v>
      </c>
      <c r="C16" s="15" t="s">
        <v>458</v>
      </c>
      <c r="D16" s="16" t="s">
        <v>522</v>
      </c>
      <c r="E16" s="16" t="s">
        <v>523</v>
      </c>
      <c r="F16" s="16" t="s">
        <v>524</v>
      </c>
      <c r="G16" s="16" t="s">
        <v>525</v>
      </c>
      <c r="H16" s="16" t="s">
        <v>526</v>
      </c>
      <c r="I16" s="23" t="s">
        <v>46</v>
      </c>
      <c r="J16" s="15" t="s">
        <v>82</v>
      </c>
      <c r="K16" s="15" t="s">
        <v>57</v>
      </c>
      <c r="L16" s="16" t="s">
        <v>527</v>
      </c>
      <c r="M16" s="15" t="s">
        <v>12</v>
      </c>
      <c r="N16" s="16"/>
      <c r="O16" s="15"/>
      <c r="P16" s="16" t="s">
        <v>528</v>
      </c>
    </row>
    <row r="17" spans="1:16" ht="60" x14ac:dyDescent="0.2">
      <c r="A17" s="15" t="s">
        <v>529</v>
      </c>
      <c r="B17" s="16" t="s">
        <v>19</v>
      </c>
      <c r="C17" s="15" t="s">
        <v>530</v>
      </c>
      <c r="D17" s="16" t="s">
        <v>531</v>
      </c>
      <c r="E17" s="16" t="s">
        <v>532</v>
      </c>
      <c r="F17" s="16" t="s">
        <v>533</v>
      </c>
      <c r="G17" s="16" t="s">
        <v>534</v>
      </c>
      <c r="H17" s="16" t="s">
        <v>535</v>
      </c>
      <c r="I17" s="23" t="s">
        <v>46</v>
      </c>
      <c r="J17" s="15" t="s">
        <v>77</v>
      </c>
      <c r="K17" s="15" t="s">
        <v>115</v>
      </c>
      <c r="L17" s="16" t="s">
        <v>536</v>
      </c>
      <c r="M17" s="24" t="s">
        <v>9</v>
      </c>
      <c r="N17" s="16" t="s">
        <v>117</v>
      </c>
      <c r="O17" s="15" t="s">
        <v>118</v>
      </c>
      <c r="P17" s="16" t="s">
        <v>308</v>
      </c>
    </row>
    <row r="18" spans="1:16" ht="75" x14ac:dyDescent="0.2">
      <c r="A18" s="15" t="s">
        <v>537</v>
      </c>
      <c r="B18" s="16" t="s">
        <v>19</v>
      </c>
      <c r="C18" s="15" t="s">
        <v>530</v>
      </c>
      <c r="D18" s="16" t="s">
        <v>538</v>
      </c>
      <c r="E18" s="16" t="s">
        <v>539</v>
      </c>
      <c r="F18" s="16" t="s">
        <v>540</v>
      </c>
      <c r="G18" s="16" t="s">
        <v>541</v>
      </c>
      <c r="H18" s="16" t="s">
        <v>542</v>
      </c>
      <c r="I18" s="23" t="s">
        <v>46</v>
      </c>
      <c r="J18" s="15" t="s">
        <v>77</v>
      </c>
      <c r="K18" s="15" t="s">
        <v>115</v>
      </c>
      <c r="L18" s="16" t="s">
        <v>543</v>
      </c>
      <c r="M18" s="15" t="s">
        <v>12</v>
      </c>
      <c r="N18" s="16"/>
      <c r="O18" s="15"/>
      <c r="P18" s="16" t="s">
        <v>150</v>
      </c>
    </row>
    <row r="19" spans="1:16" ht="150" x14ac:dyDescent="0.2">
      <c r="A19" s="15" t="s">
        <v>544</v>
      </c>
      <c r="B19" s="16" t="s">
        <v>19</v>
      </c>
      <c r="C19" s="15" t="s">
        <v>530</v>
      </c>
      <c r="D19" s="16" t="s">
        <v>545</v>
      </c>
      <c r="E19" s="16" t="s">
        <v>546</v>
      </c>
      <c r="F19" s="16" t="s">
        <v>547</v>
      </c>
      <c r="G19" s="16" t="s">
        <v>548</v>
      </c>
      <c r="H19" s="16" t="s">
        <v>549</v>
      </c>
      <c r="I19" s="27" t="s">
        <v>49</v>
      </c>
      <c r="J19" s="15" t="s">
        <v>77</v>
      </c>
      <c r="K19" s="15" t="s">
        <v>115</v>
      </c>
      <c r="L19" s="16" t="s">
        <v>550</v>
      </c>
      <c r="M19" s="24" t="s">
        <v>9</v>
      </c>
      <c r="N19" s="16" t="s">
        <v>117</v>
      </c>
      <c r="O19" s="15" t="s">
        <v>118</v>
      </c>
      <c r="P19" s="16" t="s">
        <v>551</v>
      </c>
    </row>
    <row r="20" spans="1:16" ht="45" x14ac:dyDescent="0.2">
      <c r="A20" s="15" t="s">
        <v>552</v>
      </c>
      <c r="B20" s="16" t="s">
        <v>19</v>
      </c>
      <c r="C20" s="15" t="s">
        <v>530</v>
      </c>
      <c r="D20" s="16" t="s">
        <v>553</v>
      </c>
      <c r="E20" s="16" t="s">
        <v>554</v>
      </c>
      <c r="F20" s="16" t="s">
        <v>555</v>
      </c>
      <c r="G20" s="16" t="s">
        <v>556</v>
      </c>
      <c r="H20" s="16" t="s">
        <v>557</v>
      </c>
      <c r="I20" s="23" t="s">
        <v>46</v>
      </c>
      <c r="J20" s="15" t="s">
        <v>77</v>
      </c>
      <c r="K20" s="15" t="s">
        <v>115</v>
      </c>
      <c r="L20" s="16" t="s">
        <v>558</v>
      </c>
      <c r="M20" s="24" t="s">
        <v>9</v>
      </c>
      <c r="N20" s="16" t="s">
        <v>117</v>
      </c>
      <c r="O20" s="15" t="s">
        <v>118</v>
      </c>
      <c r="P20" s="16"/>
    </row>
    <row r="21" spans="1:16" ht="105" x14ac:dyDescent="0.2">
      <c r="A21" s="15" t="s">
        <v>559</v>
      </c>
      <c r="B21" s="16" t="s">
        <v>19</v>
      </c>
      <c r="C21" s="15" t="s">
        <v>530</v>
      </c>
      <c r="D21" s="16" t="s">
        <v>560</v>
      </c>
      <c r="E21" s="16" t="s">
        <v>561</v>
      </c>
      <c r="F21" s="16" t="s">
        <v>562</v>
      </c>
      <c r="G21" s="16" t="s">
        <v>563</v>
      </c>
      <c r="H21" s="16" t="s">
        <v>564</v>
      </c>
      <c r="I21" s="25" t="s">
        <v>47</v>
      </c>
      <c r="J21" s="15" t="s">
        <v>77</v>
      </c>
      <c r="K21" s="15" t="s">
        <v>115</v>
      </c>
      <c r="L21" s="16" t="s">
        <v>565</v>
      </c>
      <c r="M21" s="24" t="s">
        <v>9</v>
      </c>
      <c r="N21" s="16" t="s">
        <v>117</v>
      </c>
      <c r="O21" s="15" t="s">
        <v>118</v>
      </c>
      <c r="P21" s="16"/>
    </row>
    <row r="22" spans="1:16" ht="30" x14ac:dyDescent="0.2">
      <c r="A22" s="15" t="s">
        <v>566</v>
      </c>
      <c r="B22" s="16" t="s">
        <v>19</v>
      </c>
      <c r="C22" s="15" t="s">
        <v>567</v>
      </c>
      <c r="D22" s="16" t="s">
        <v>568</v>
      </c>
      <c r="E22" s="16" t="s">
        <v>569</v>
      </c>
      <c r="F22" s="16" t="s">
        <v>570</v>
      </c>
      <c r="G22" s="16" t="s">
        <v>571</v>
      </c>
      <c r="H22" s="16" t="s">
        <v>572</v>
      </c>
      <c r="I22" s="25" t="s">
        <v>47</v>
      </c>
      <c r="J22" s="15" t="s">
        <v>77</v>
      </c>
      <c r="K22" s="15" t="s">
        <v>115</v>
      </c>
      <c r="L22" s="16" t="s">
        <v>573</v>
      </c>
      <c r="M22" s="24" t="s">
        <v>9</v>
      </c>
      <c r="N22" s="16" t="s">
        <v>117</v>
      </c>
      <c r="O22" s="15" t="s">
        <v>118</v>
      </c>
      <c r="P22" s="16"/>
    </row>
    <row r="23" spans="1:16" ht="105" x14ac:dyDescent="0.2">
      <c r="A23" s="15" t="s">
        <v>79</v>
      </c>
      <c r="B23" s="16" t="s">
        <v>19</v>
      </c>
      <c r="C23" s="15" t="s">
        <v>567</v>
      </c>
      <c r="D23" s="16" t="s">
        <v>574</v>
      </c>
      <c r="E23" s="16" t="s">
        <v>569</v>
      </c>
      <c r="F23" s="16" t="s">
        <v>575</v>
      </c>
      <c r="G23" s="16" t="s">
        <v>576</v>
      </c>
      <c r="H23" s="16" t="s">
        <v>577</v>
      </c>
      <c r="I23" s="23" t="s">
        <v>46</v>
      </c>
      <c r="J23" s="15" t="s">
        <v>77</v>
      </c>
      <c r="K23" s="15" t="s">
        <v>115</v>
      </c>
      <c r="L23" s="16" t="s">
        <v>578</v>
      </c>
      <c r="M23" s="26" t="s">
        <v>10</v>
      </c>
      <c r="N23" s="16" t="s">
        <v>117</v>
      </c>
      <c r="O23" s="15" t="s">
        <v>118</v>
      </c>
      <c r="P23" s="16" t="s">
        <v>579</v>
      </c>
    </row>
  </sheetData>
  <autoFilter ref="A1:P23" xr:uid="{00000000-0009-0000-0000-000004000000}"/>
  <dataValidations count="1">
    <dataValidation type="list" allowBlank="1" sqref="M2:M23" xr:uid="{00000000-0002-0000-0400-000000000000}">
      <formula1>"Pass,Fail,Blocked,Chưa thực hiện"</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3"/>
  <sheetViews>
    <sheetView zoomScaleNormal="100" workbookViewId="0">
      <pane xSplit="4" ySplit="1" topLeftCell="E2" activePane="bottomRight" state="frozen"/>
      <selection pane="topRight" activeCell="E1" sqref="E1"/>
      <selection pane="bottomLeft" activeCell="A2" sqref="A2"/>
      <selection pane="bottomRight"/>
    </sheetView>
  </sheetViews>
  <sheetFormatPr baseColWidth="10" defaultColWidth="8.6640625" defaultRowHeight="15" x14ac:dyDescent="0.2"/>
  <cols>
    <col min="1" max="1" width="11" customWidth="1"/>
    <col min="2" max="2" width="24" customWidth="1"/>
    <col min="3" max="3" width="12" customWidth="1"/>
    <col min="4" max="4" width="34" customWidth="1"/>
    <col min="5" max="5" width="28" customWidth="1"/>
    <col min="6" max="6" width="30" customWidth="1"/>
    <col min="7" max="7" width="38" customWidth="1"/>
    <col min="8" max="8" width="46" customWidth="1"/>
    <col min="9" max="9" width="11" customWidth="1"/>
    <col min="10" max="11" width="12" customWidth="1"/>
    <col min="12" max="12" width="26" customWidth="1"/>
    <col min="13" max="14" width="14" customWidth="1"/>
    <col min="15" max="15" width="13" customWidth="1"/>
    <col min="16" max="16" width="20" customWidth="1"/>
  </cols>
  <sheetData>
    <row r="1" spans="1:16" ht="31.5" customHeight="1" x14ac:dyDescent="0.2">
      <c r="A1" s="14" t="s">
        <v>60</v>
      </c>
      <c r="B1" s="14" t="s">
        <v>6</v>
      </c>
      <c r="C1" s="14" t="s">
        <v>94</v>
      </c>
      <c r="D1" s="14" t="s">
        <v>95</v>
      </c>
      <c r="E1" s="14" t="s">
        <v>96</v>
      </c>
      <c r="F1" s="14" t="s">
        <v>97</v>
      </c>
      <c r="G1" s="14" t="s">
        <v>98</v>
      </c>
      <c r="H1" s="14" t="s">
        <v>99</v>
      </c>
      <c r="I1" s="14" t="s">
        <v>100</v>
      </c>
      <c r="J1" s="14" t="s">
        <v>101</v>
      </c>
      <c r="K1" s="14" t="s">
        <v>102</v>
      </c>
      <c r="L1" s="14" t="s">
        <v>103</v>
      </c>
      <c r="M1" s="14" t="s">
        <v>104</v>
      </c>
      <c r="N1" s="14" t="s">
        <v>105</v>
      </c>
      <c r="O1" s="14" t="s">
        <v>106</v>
      </c>
      <c r="P1" s="14" t="s">
        <v>107</v>
      </c>
    </row>
    <row r="2" spans="1:16" ht="90" x14ac:dyDescent="0.2">
      <c r="A2" s="15" t="s">
        <v>580</v>
      </c>
      <c r="B2" s="16" t="s">
        <v>21</v>
      </c>
      <c r="C2" s="15" t="s">
        <v>581</v>
      </c>
      <c r="D2" s="16" t="s">
        <v>582</v>
      </c>
      <c r="E2" s="16" t="s">
        <v>324</v>
      </c>
      <c r="F2" s="16" t="s">
        <v>583</v>
      </c>
      <c r="G2" s="16" t="s">
        <v>584</v>
      </c>
      <c r="H2" s="16" t="s">
        <v>585</v>
      </c>
      <c r="I2" s="23" t="s">
        <v>46</v>
      </c>
      <c r="J2" s="15" t="s">
        <v>77</v>
      </c>
      <c r="K2" s="15" t="s">
        <v>115</v>
      </c>
      <c r="L2" s="16" t="s">
        <v>586</v>
      </c>
      <c r="M2" s="24" t="s">
        <v>9</v>
      </c>
      <c r="N2" s="16" t="s">
        <v>117</v>
      </c>
      <c r="O2" s="15" t="s">
        <v>118</v>
      </c>
      <c r="P2" s="16"/>
    </row>
    <row r="3" spans="1:16" ht="60" x14ac:dyDescent="0.2">
      <c r="A3" s="15" t="s">
        <v>587</v>
      </c>
      <c r="B3" s="16" t="s">
        <v>21</v>
      </c>
      <c r="C3" s="15" t="s">
        <v>581</v>
      </c>
      <c r="D3" s="16" t="s">
        <v>588</v>
      </c>
      <c r="E3" s="16" t="s">
        <v>589</v>
      </c>
      <c r="F3" s="16" t="s">
        <v>590</v>
      </c>
      <c r="G3" s="16" t="s">
        <v>591</v>
      </c>
      <c r="H3" s="16" t="s">
        <v>592</v>
      </c>
      <c r="I3" s="25" t="s">
        <v>47</v>
      </c>
      <c r="J3" s="15" t="s">
        <v>82</v>
      </c>
      <c r="K3" s="15" t="s">
        <v>115</v>
      </c>
      <c r="L3" s="16" t="s">
        <v>593</v>
      </c>
      <c r="M3" s="24" t="s">
        <v>9</v>
      </c>
      <c r="N3" s="16" t="s">
        <v>117</v>
      </c>
      <c r="O3" s="15" t="s">
        <v>118</v>
      </c>
      <c r="P3" s="16" t="s">
        <v>264</v>
      </c>
    </row>
    <row r="4" spans="1:16" ht="45" x14ac:dyDescent="0.2">
      <c r="A4" s="15" t="s">
        <v>594</v>
      </c>
      <c r="B4" s="16" t="s">
        <v>21</v>
      </c>
      <c r="C4" s="15" t="s">
        <v>581</v>
      </c>
      <c r="D4" s="16" t="s">
        <v>595</v>
      </c>
      <c r="E4" s="16" t="s">
        <v>596</v>
      </c>
      <c r="F4" s="16" t="s">
        <v>533</v>
      </c>
      <c r="G4" s="16" t="s">
        <v>597</v>
      </c>
      <c r="H4" s="16" t="s">
        <v>598</v>
      </c>
      <c r="I4" s="23" t="s">
        <v>46</v>
      </c>
      <c r="J4" s="15" t="s">
        <v>77</v>
      </c>
      <c r="K4" s="15" t="s">
        <v>115</v>
      </c>
      <c r="L4" s="16" t="s">
        <v>599</v>
      </c>
      <c r="M4" s="24" t="s">
        <v>9</v>
      </c>
      <c r="N4" s="16" t="s">
        <v>117</v>
      </c>
      <c r="O4" s="15" t="s">
        <v>118</v>
      </c>
      <c r="P4" s="16"/>
    </row>
    <row r="5" spans="1:16" ht="45" x14ac:dyDescent="0.2">
      <c r="A5" s="15" t="s">
        <v>600</v>
      </c>
      <c r="B5" s="16" t="s">
        <v>21</v>
      </c>
      <c r="C5" s="15" t="s">
        <v>581</v>
      </c>
      <c r="D5" s="16" t="s">
        <v>601</v>
      </c>
      <c r="E5" s="16" t="s">
        <v>602</v>
      </c>
      <c r="F5" s="16" t="s">
        <v>603</v>
      </c>
      <c r="G5" s="16" t="s">
        <v>604</v>
      </c>
      <c r="H5" s="16" t="s">
        <v>605</v>
      </c>
      <c r="I5" s="23" t="s">
        <v>46</v>
      </c>
      <c r="J5" s="15" t="s">
        <v>77</v>
      </c>
      <c r="K5" s="15" t="s">
        <v>115</v>
      </c>
      <c r="L5" s="16" t="s">
        <v>606</v>
      </c>
      <c r="M5" s="24" t="s">
        <v>9</v>
      </c>
      <c r="N5" s="16" t="s">
        <v>117</v>
      </c>
      <c r="O5" s="15" t="s">
        <v>118</v>
      </c>
      <c r="P5" s="16"/>
    </row>
    <row r="6" spans="1:16" ht="60" x14ac:dyDescent="0.2">
      <c r="A6" s="15" t="s">
        <v>607</v>
      </c>
      <c r="B6" s="16" t="s">
        <v>21</v>
      </c>
      <c r="C6" s="15" t="s">
        <v>581</v>
      </c>
      <c r="D6" s="16" t="s">
        <v>608</v>
      </c>
      <c r="E6" s="16" t="s">
        <v>609</v>
      </c>
      <c r="F6" s="16" t="s">
        <v>610</v>
      </c>
      <c r="G6" s="16" t="s">
        <v>611</v>
      </c>
      <c r="H6" s="16" t="s">
        <v>612</v>
      </c>
      <c r="I6" s="25" t="s">
        <v>47</v>
      </c>
      <c r="J6" s="15" t="s">
        <v>77</v>
      </c>
      <c r="K6" s="15" t="s">
        <v>115</v>
      </c>
      <c r="L6" s="16" t="s">
        <v>613</v>
      </c>
      <c r="M6" s="24" t="s">
        <v>9</v>
      </c>
      <c r="N6" s="16" t="s">
        <v>117</v>
      </c>
      <c r="O6" s="15" t="s">
        <v>118</v>
      </c>
      <c r="P6" s="16" t="s">
        <v>308</v>
      </c>
    </row>
    <row r="7" spans="1:16" ht="30" x14ac:dyDescent="0.2">
      <c r="A7" s="15" t="s">
        <v>614</v>
      </c>
      <c r="B7" s="16" t="s">
        <v>21</v>
      </c>
      <c r="C7" s="15" t="s">
        <v>581</v>
      </c>
      <c r="D7" s="16" t="s">
        <v>615</v>
      </c>
      <c r="E7" s="16" t="s">
        <v>616</v>
      </c>
      <c r="F7" s="16" t="s">
        <v>617</v>
      </c>
      <c r="G7" s="16" t="s">
        <v>618</v>
      </c>
      <c r="H7" s="16" t="s">
        <v>619</v>
      </c>
      <c r="I7" s="25" t="s">
        <v>47</v>
      </c>
      <c r="J7" s="15" t="s">
        <v>77</v>
      </c>
      <c r="K7" s="15" t="s">
        <v>115</v>
      </c>
      <c r="L7" s="16" t="s">
        <v>620</v>
      </c>
      <c r="M7" s="24" t="s">
        <v>9</v>
      </c>
      <c r="N7" s="16" t="s">
        <v>117</v>
      </c>
      <c r="O7" s="15" t="s">
        <v>118</v>
      </c>
      <c r="P7" s="16"/>
    </row>
    <row r="8" spans="1:16" ht="60" x14ac:dyDescent="0.2">
      <c r="A8" s="15" t="s">
        <v>621</v>
      </c>
      <c r="B8" s="16" t="s">
        <v>21</v>
      </c>
      <c r="C8" s="15" t="s">
        <v>581</v>
      </c>
      <c r="D8" s="16" t="s">
        <v>622</v>
      </c>
      <c r="E8" s="16" t="s">
        <v>623</v>
      </c>
      <c r="F8" s="16" t="s">
        <v>624</v>
      </c>
      <c r="G8" s="16" t="s">
        <v>618</v>
      </c>
      <c r="H8" s="16" t="s">
        <v>619</v>
      </c>
      <c r="I8" s="28" t="s">
        <v>48</v>
      </c>
      <c r="J8" s="15" t="s">
        <v>77</v>
      </c>
      <c r="K8" s="15" t="s">
        <v>115</v>
      </c>
      <c r="L8" s="16" t="s">
        <v>625</v>
      </c>
      <c r="M8" s="24" t="s">
        <v>9</v>
      </c>
      <c r="N8" s="16" t="s">
        <v>117</v>
      </c>
      <c r="O8" s="15" t="s">
        <v>118</v>
      </c>
      <c r="P8" s="16" t="s">
        <v>308</v>
      </c>
    </row>
    <row r="9" spans="1:16" ht="60" x14ac:dyDescent="0.2">
      <c r="A9" s="15" t="s">
        <v>626</v>
      </c>
      <c r="B9" s="16" t="s">
        <v>21</v>
      </c>
      <c r="C9" s="15" t="s">
        <v>581</v>
      </c>
      <c r="D9" s="16" t="s">
        <v>627</v>
      </c>
      <c r="E9" s="16" t="s">
        <v>628</v>
      </c>
      <c r="F9" s="16" t="s">
        <v>629</v>
      </c>
      <c r="G9" s="16" t="s">
        <v>630</v>
      </c>
      <c r="H9" s="16" t="s">
        <v>631</v>
      </c>
      <c r="I9" s="28" t="s">
        <v>48</v>
      </c>
      <c r="J9" s="15" t="s">
        <v>77</v>
      </c>
      <c r="K9" s="15" t="s">
        <v>115</v>
      </c>
      <c r="L9" s="16" t="s">
        <v>632</v>
      </c>
      <c r="M9" s="24" t="s">
        <v>9</v>
      </c>
      <c r="N9" s="16" t="s">
        <v>117</v>
      </c>
      <c r="O9" s="15" t="s">
        <v>118</v>
      </c>
      <c r="P9" s="16"/>
    </row>
    <row r="10" spans="1:16" ht="90" x14ac:dyDescent="0.2">
      <c r="A10" s="15" t="s">
        <v>633</v>
      </c>
      <c r="B10" s="16" t="s">
        <v>21</v>
      </c>
      <c r="C10" s="15" t="s">
        <v>581</v>
      </c>
      <c r="D10" s="16" t="s">
        <v>634</v>
      </c>
      <c r="E10" s="16" t="s">
        <v>635</v>
      </c>
      <c r="F10" s="16" t="s">
        <v>636</v>
      </c>
      <c r="G10" s="16" t="s">
        <v>630</v>
      </c>
      <c r="H10" s="16" t="s">
        <v>637</v>
      </c>
      <c r="I10" s="28" t="s">
        <v>48</v>
      </c>
      <c r="J10" s="15" t="s">
        <v>77</v>
      </c>
      <c r="K10" s="15" t="s">
        <v>115</v>
      </c>
      <c r="L10" s="16" t="s">
        <v>638</v>
      </c>
      <c r="M10" s="24" t="s">
        <v>9</v>
      </c>
      <c r="N10" s="16" t="s">
        <v>117</v>
      </c>
      <c r="O10" s="15" t="s">
        <v>118</v>
      </c>
      <c r="P10" s="16" t="s">
        <v>639</v>
      </c>
    </row>
    <row r="11" spans="1:16" ht="30" x14ac:dyDescent="0.2">
      <c r="A11" s="15" t="s">
        <v>640</v>
      </c>
      <c r="B11" s="16" t="s">
        <v>21</v>
      </c>
      <c r="C11" s="15" t="s">
        <v>581</v>
      </c>
      <c r="D11" s="16" t="s">
        <v>641</v>
      </c>
      <c r="E11" s="16" t="s">
        <v>231</v>
      </c>
      <c r="F11" s="16" t="s">
        <v>642</v>
      </c>
      <c r="G11" s="16" t="s">
        <v>630</v>
      </c>
      <c r="H11" s="16" t="s">
        <v>643</v>
      </c>
      <c r="I11" s="25" t="s">
        <v>47</v>
      </c>
      <c r="J11" s="15" t="s">
        <v>77</v>
      </c>
      <c r="K11" s="15" t="s">
        <v>115</v>
      </c>
      <c r="L11" s="16" t="s">
        <v>644</v>
      </c>
      <c r="M11" s="24" t="s">
        <v>9</v>
      </c>
      <c r="N11" s="16" t="s">
        <v>117</v>
      </c>
      <c r="O11" s="15" t="s">
        <v>118</v>
      </c>
      <c r="P11" s="16" t="s">
        <v>645</v>
      </c>
    </row>
    <row r="12" spans="1:16" ht="60" x14ac:dyDescent="0.2">
      <c r="A12" s="15" t="s">
        <v>646</v>
      </c>
      <c r="B12" s="16" t="s">
        <v>21</v>
      </c>
      <c r="C12" s="15" t="s">
        <v>458</v>
      </c>
      <c r="D12" s="16" t="s">
        <v>647</v>
      </c>
      <c r="E12" s="16" t="s">
        <v>648</v>
      </c>
      <c r="F12" s="16" t="s">
        <v>649</v>
      </c>
      <c r="G12" s="16" t="s">
        <v>650</v>
      </c>
      <c r="H12" s="16" t="s">
        <v>651</v>
      </c>
      <c r="I12" s="23" t="s">
        <v>46</v>
      </c>
      <c r="J12" s="15" t="s">
        <v>77</v>
      </c>
      <c r="K12" s="15" t="s">
        <v>115</v>
      </c>
      <c r="L12" s="16" t="s">
        <v>652</v>
      </c>
      <c r="M12" s="24" t="s">
        <v>9</v>
      </c>
      <c r="N12" s="16" t="s">
        <v>117</v>
      </c>
      <c r="O12" s="15" t="s">
        <v>118</v>
      </c>
      <c r="P12" s="16" t="s">
        <v>308</v>
      </c>
    </row>
    <row r="13" spans="1:16" ht="45" x14ac:dyDescent="0.2">
      <c r="A13" s="15" t="s">
        <v>653</v>
      </c>
      <c r="B13" s="16" t="s">
        <v>21</v>
      </c>
      <c r="C13" s="15" t="s">
        <v>458</v>
      </c>
      <c r="D13" s="16" t="s">
        <v>654</v>
      </c>
      <c r="E13" s="16" t="s">
        <v>655</v>
      </c>
      <c r="F13" s="16" t="s">
        <v>649</v>
      </c>
      <c r="G13" s="16" t="s">
        <v>656</v>
      </c>
      <c r="H13" s="16" t="s">
        <v>657</v>
      </c>
      <c r="I13" s="27" t="s">
        <v>49</v>
      </c>
      <c r="J13" s="15" t="s">
        <v>77</v>
      </c>
      <c r="K13" s="15" t="s">
        <v>115</v>
      </c>
      <c r="L13" s="16" t="s">
        <v>658</v>
      </c>
      <c r="M13" s="24" t="s">
        <v>9</v>
      </c>
      <c r="N13" s="16" t="s">
        <v>117</v>
      </c>
      <c r="O13" s="15" t="s">
        <v>118</v>
      </c>
      <c r="P13" s="16" t="s">
        <v>505</v>
      </c>
    </row>
  </sheetData>
  <autoFilter ref="A1:P13" xr:uid="{00000000-0009-0000-0000-000005000000}"/>
  <dataValidations count="1">
    <dataValidation type="list" allowBlank="1" sqref="M2:M13" xr:uid="{00000000-0002-0000-0500-000000000000}">
      <formula1>"Pass,Fail,Blocked,Chưa thực hiện"</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9"/>
  <sheetViews>
    <sheetView zoomScaleNormal="100" workbookViewId="0">
      <pane xSplit="4" ySplit="1" topLeftCell="E2" activePane="bottomRight" state="frozen"/>
      <selection pane="topRight" activeCell="E1" sqref="E1"/>
      <selection pane="bottomLeft" activeCell="A2" sqref="A2"/>
      <selection pane="bottomRight"/>
    </sheetView>
  </sheetViews>
  <sheetFormatPr baseColWidth="10" defaultColWidth="8.6640625" defaultRowHeight="15" x14ac:dyDescent="0.2"/>
  <cols>
    <col min="1" max="1" width="11" customWidth="1"/>
    <col min="2" max="2" width="24" customWidth="1"/>
    <col min="3" max="3" width="12" customWidth="1"/>
    <col min="4" max="4" width="34" customWidth="1"/>
    <col min="5" max="5" width="28" customWidth="1"/>
    <col min="6" max="6" width="30" customWidth="1"/>
    <col min="7" max="7" width="38" customWidth="1"/>
    <col min="8" max="8" width="46" customWidth="1"/>
    <col min="9" max="9" width="11" customWidth="1"/>
    <col min="10" max="11" width="12" customWidth="1"/>
    <col min="12" max="12" width="26" customWidth="1"/>
    <col min="13" max="14" width="14" customWidth="1"/>
    <col min="15" max="15" width="13" customWidth="1"/>
    <col min="16" max="16" width="20" customWidth="1"/>
  </cols>
  <sheetData>
    <row r="1" spans="1:16" ht="31.5" customHeight="1" x14ac:dyDescent="0.2">
      <c r="A1" s="14" t="s">
        <v>60</v>
      </c>
      <c r="B1" s="14" t="s">
        <v>6</v>
      </c>
      <c r="C1" s="14" t="s">
        <v>94</v>
      </c>
      <c r="D1" s="14" t="s">
        <v>95</v>
      </c>
      <c r="E1" s="14" t="s">
        <v>96</v>
      </c>
      <c r="F1" s="14" t="s">
        <v>97</v>
      </c>
      <c r="G1" s="14" t="s">
        <v>98</v>
      </c>
      <c r="H1" s="14" t="s">
        <v>99</v>
      </c>
      <c r="I1" s="14" t="s">
        <v>100</v>
      </c>
      <c r="J1" s="14" t="s">
        <v>101</v>
      </c>
      <c r="K1" s="14" t="s">
        <v>102</v>
      </c>
      <c r="L1" s="14" t="s">
        <v>103</v>
      </c>
      <c r="M1" s="14" t="s">
        <v>104</v>
      </c>
      <c r="N1" s="14" t="s">
        <v>105</v>
      </c>
      <c r="O1" s="14" t="s">
        <v>106</v>
      </c>
      <c r="P1" s="14" t="s">
        <v>107</v>
      </c>
    </row>
    <row r="2" spans="1:16" ht="45" x14ac:dyDescent="0.2">
      <c r="A2" s="15" t="s">
        <v>659</v>
      </c>
      <c r="B2" s="16" t="s">
        <v>23</v>
      </c>
      <c r="C2" s="15" t="s">
        <v>660</v>
      </c>
      <c r="D2" s="16" t="s">
        <v>661</v>
      </c>
      <c r="E2" s="16" t="s">
        <v>662</v>
      </c>
      <c r="F2" s="16" t="s">
        <v>663</v>
      </c>
      <c r="G2" s="16" t="s">
        <v>664</v>
      </c>
      <c r="H2" s="16" t="s">
        <v>665</v>
      </c>
      <c r="I2" s="23" t="s">
        <v>46</v>
      </c>
      <c r="J2" s="15" t="s">
        <v>77</v>
      </c>
      <c r="K2" s="15" t="s">
        <v>115</v>
      </c>
      <c r="L2" s="16" t="s">
        <v>666</v>
      </c>
      <c r="M2" s="24" t="s">
        <v>9</v>
      </c>
      <c r="N2" s="16" t="s">
        <v>117</v>
      </c>
      <c r="O2" s="15" t="s">
        <v>118</v>
      </c>
      <c r="P2" s="16"/>
    </row>
    <row r="3" spans="1:16" ht="60" x14ac:dyDescent="0.2">
      <c r="A3" s="15" t="s">
        <v>667</v>
      </c>
      <c r="B3" s="16" t="s">
        <v>23</v>
      </c>
      <c r="C3" s="15" t="s">
        <v>660</v>
      </c>
      <c r="D3" s="16" t="s">
        <v>668</v>
      </c>
      <c r="E3" s="16" t="s">
        <v>669</v>
      </c>
      <c r="F3" s="16" t="s">
        <v>670</v>
      </c>
      <c r="G3" s="16" t="s">
        <v>671</v>
      </c>
      <c r="H3" s="16" t="s">
        <v>672</v>
      </c>
      <c r="I3" s="28" t="s">
        <v>48</v>
      </c>
      <c r="J3" s="15" t="s">
        <v>77</v>
      </c>
      <c r="K3" s="15" t="s">
        <v>115</v>
      </c>
      <c r="L3" s="16" t="s">
        <v>673</v>
      </c>
      <c r="M3" s="24" t="s">
        <v>9</v>
      </c>
      <c r="N3" s="16" t="s">
        <v>117</v>
      </c>
      <c r="O3" s="15" t="s">
        <v>118</v>
      </c>
      <c r="P3" s="16"/>
    </row>
    <row r="4" spans="1:16" ht="30" x14ac:dyDescent="0.2">
      <c r="A4" s="15" t="s">
        <v>674</v>
      </c>
      <c r="B4" s="16" t="s">
        <v>23</v>
      </c>
      <c r="C4" s="15" t="s">
        <v>660</v>
      </c>
      <c r="D4" s="16" t="s">
        <v>675</v>
      </c>
      <c r="E4" s="16" t="s">
        <v>676</v>
      </c>
      <c r="F4" s="16" t="s">
        <v>677</v>
      </c>
      <c r="G4" s="16" t="s">
        <v>678</v>
      </c>
      <c r="H4" s="16" t="s">
        <v>679</v>
      </c>
      <c r="I4" s="27" t="s">
        <v>49</v>
      </c>
      <c r="J4" s="15" t="s">
        <v>77</v>
      </c>
      <c r="K4" s="15" t="s">
        <v>115</v>
      </c>
      <c r="L4" s="16" t="s">
        <v>680</v>
      </c>
      <c r="M4" s="24" t="s">
        <v>9</v>
      </c>
      <c r="N4" s="16" t="s">
        <v>117</v>
      </c>
      <c r="O4" s="15" t="s">
        <v>118</v>
      </c>
      <c r="P4" s="16"/>
    </row>
    <row r="5" spans="1:16" ht="60" x14ac:dyDescent="0.2">
      <c r="A5" s="15" t="s">
        <v>681</v>
      </c>
      <c r="B5" s="16" t="s">
        <v>23</v>
      </c>
      <c r="C5" s="15" t="s">
        <v>660</v>
      </c>
      <c r="D5" s="16" t="s">
        <v>682</v>
      </c>
      <c r="E5" s="16" t="s">
        <v>683</v>
      </c>
      <c r="F5" s="16" t="s">
        <v>684</v>
      </c>
      <c r="G5" s="16" t="s">
        <v>685</v>
      </c>
      <c r="H5" s="16" t="s">
        <v>686</v>
      </c>
      <c r="I5" s="23" t="s">
        <v>46</v>
      </c>
      <c r="J5" s="15" t="s">
        <v>77</v>
      </c>
      <c r="K5" s="15" t="s">
        <v>115</v>
      </c>
      <c r="L5" s="16" t="s">
        <v>687</v>
      </c>
      <c r="M5" s="24" t="s">
        <v>9</v>
      </c>
      <c r="N5" s="16" t="s">
        <v>117</v>
      </c>
      <c r="O5" s="15" t="s">
        <v>118</v>
      </c>
      <c r="P5" s="16" t="s">
        <v>308</v>
      </c>
    </row>
    <row r="6" spans="1:16" ht="30" x14ac:dyDescent="0.2">
      <c r="A6" s="15" t="s">
        <v>688</v>
      </c>
      <c r="B6" s="16" t="s">
        <v>23</v>
      </c>
      <c r="C6" s="15" t="s">
        <v>660</v>
      </c>
      <c r="D6" s="16" t="s">
        <v>689</v>
      </c>
      <c r="E6" s="16" t="s">
        <v>669</v>
      </c>
      <c r="F6" s="16" t="s">
        <v>690</v>
      </c>
      <c r="G6" s="16" t="s">
        <v>691</v>
      </c>
      <c r="H6" s="16" t="s">
        <v>692</v>
      </c>
      <c r="I6" s="23" t="s">
        <v>46</v>
      </c>
      <c r="J6" s="15" t="s">
        <v>82</v>
      </c>
      <c r="K6" s="15" t="s">
        <v>115</v>
      </c>
      <c r="L6" s="16" t="s">
        <v>693</v>
      </c>
      <c r="M6" s="24" t="s">
        <v>9</v>
      </c>
      <c r="N6" s="16" t="s">
        <v>117</v>
      </c>
      <c r="O6" s="15" t="s">
        <v>118</v>
      </c>
      <c r="P6" s="16"/>
    </row>
    <row r="7" spans="1:16" ht="30" x14ac:dyDescent="0.2">
      <c r="A7" s="15" t="s">
        <v>694</v>
      </c>
      <c r="B7" s="16" t="s">
        <v>23</v>
      </c>
      <c r="C7" s="15" t="s">
        <v>660</v>
      </c>
      <c r="D7" s="16" t="s">
        <v>695</v>
      </c>
      <c r="E7" s="16" t="s">
        <v>398</v>
      </c>
      <c r="F7" s="16" t="s">
        <v>399</v>
      </c>
      <c r="G7" s="16" t="s">
        <v>678</v>
      </c>
      <c r="H7" s="16" t="s">
        <v>696</v>
      </c>
      <c r="I7" s="27" t="s">
        <v>49</v>
      </c>
      <c r="J7" s="15" t="s">
        <v>77</v>
      </c>
      <c r="K7" s="15" t="s">
        <v>115</v>
      </c>
      <c r="L7" s="16" t="s">
        <v>697</v>
      </c>
      <c r="M7" s="24" t="s">
        <v>9</v>
      </c>
      <c r="N7" s="16" t="s">
        <v>117</v>
      </c>
      <c r="O7" s="15" t="s">
        <v>118</v>
      </c>
      <c r="P7" s="16"/>
    </row>
    <row r="8" spans="1:16" ht="60" x14ac:dyDescent="0.2">
      <c r="A8" s="15" t="s">
        <v>698</v>
      </c>
      <c r="B8" s="16" t="s">
        <v>23</v>
      </c>
      <c r="C8" s="15" t="s">
        <v>660</v>
      </c>
      <c r="D8" s="16" t="s">
        <v>699</v>
      </c>
      <c r="E8" s="16" t="s">
        <v>700</v>
      </c>
      <c r="F8" s="16" t="s">
        <v>701</v>
      </c>
      <c r="G8" s="16" t="s">
        <v>702</v>
      </c>
      <c r="H8" s="16" t="s">
        <v>703</v>
      </c>
      <c r="I8" s="23" t="s">
        <v>46</v>
      </c>
      <c r="J8" s="15" t="s">
        <v>82</v>
      </c>
      <c r="K8" s="15" t="s">
        <v>115</v>
      </c>
      <c r="L8" s="16" t="s">
        <v>704</v>
      </c>
      <c r="M8" s="24" t="s">
        <v>9</v>
      </c>
      <c r="N8" s="16" t="s">
        <v>117</v>
      </c>
      <c r="O8" s="15" t="s">
        <v>118</v>
      </c>
      <c r="P8" s="16" t="s">
        <v>308</v>
      </c>
    </row>
    <row r="9" spans="1:16" ht="75" x14ac:dyDescent="0.2">
      <c r="A9" s="15" t="s">
        <v>705</v>
      </c>
      <c r="B9" s="16" t="s">
        <v>23</v>
      </c>
      <c r="C9" s="15" t="s">
        <v>660</v>
      </c>
      <c r="D9" s="16" t="s">
        <v>706</v>
      </c>
      <c r="E9" s="16" t="s">
        <v>707</v>
      </c>
      <c r="F9" s="16" t="s">
        <v>708</v>
      </c>
      <c r="G9" s="16" t="s">
        <v>709</v>
      </c>
      <c r="H9" s="16" t="s">
        <v>710</v>
      </c>
      <c r="I9" s="25" t="s">
        <v>47</v>
      </c>
      <c r="J9" s="15" t="s">
        <v>77</v>
      </c>
      <c r="K9" s="15" t="s">
        <v>57</v>
      </c>
      <c r="L9" s="16" t="s">
        <v>711</v>
      </c>
      <c r="M9" s="24" t="s">
        <v>9</v>
      </c>
      <c r="N9" s="16" t="s">
        <v>117</v>
      </c>
      <c r="O9" s="15" t="s">
        <v>118</v>
      </c>
      <c r="P9" s="16" t="s">
        <v>712</v>
      </c>
    </row>
  </sheetData>
  <autoFilter ref="A1:P9" xr:uid="{00000000-0009-0000-0000-000006000000}"/>
  <dataValidations count="1">
    <dataValidation type="list" allowBlank="1" sqref="M2:M9" xr:uid="{00000000-0002-0000-0600-000000000000}">
      <formula1>"Pass,Fail,Blocked,Chưa thực hiện"</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12"/>
  <sheetViews>
    <sheetView zoomScaleNormal="100" workbookViewId="0">
      <pane xSplit="4" ySplit="1" topLeftCell="E2" activePane="bottomRight" state="frozen"/>
      <selection pane="topRight" activeCell="E1" sqref="E1"/>
      <selection pane="bottomLeft" activeCell="A2" sqref="A2"/>
      <selection pane="bottomRight"/>
    </sheetView>
  </sheetViews>
  <sheetFormatPr baseColWidth="10" defaultColWidth="8.6640625" defaultRowHeight="15" x14ac:dyDescent="0.2"/>
  <cols>
    <col min="1" max="1" width="11" customWidth="1"/>
    <col min="2" max="2" width="24" customWidth="1"/>
    <col min="3" max="3" width="12" customWidth="1"/>
    <col min="4" max="4" width="34" customWidth="1"/>
    <col min="5" max="5" width="28" customWidth="1"/>
    <col min="6" max="6" width="30" customWidth="1"/>
    <col min="7" max="7" width="38" customWidth="1"/>
    <col min="8" max="8" width="46" customWidth="1"/>
    <col min="9" max="9" width="11" customWidth="1"/>
    <col min="10" max="11" width="12" customWidth="1"/>
    <col min="12" max="12" width="26" customWidth="1"/>
    <col min="13" max="14" width="14" customWidth="1"/>
    <col min="15" max="15" width="13" customWidth="1"/>
    <col min="16" max="16" width="20" customWidth="1"/>
  </cols>
  <sheetData>
    <row r="1" spans="1:16" ht="31.5" customHeight="1" x14ac:dyDescent="0.2">
      <c r="A1" s="14" t="s">
        <v>60</v>
      </c>
      <c r="B1" s="14" t="s">
        <v>6</v>
      </c>
      <c r="C1" s="14" t="s">
        <v>94</v>
      </c>
      <c r="D1" s="14" t="s">
        <v>95</v>
      </c>
      <c r="E1" s="14" t="s">
        <v>96</v>
      </c>
      <c r="F1" s="14" t="s">
        <v>97</v>
      </c>
      <c r="G1" s="14" t="s">
        <v>98</v>
      </c>
      <c r="H1" s="14" t="s">
        <v>99</v>
      </c>
      <c r="I1" s="14" t="s">
        <v>100</v>
      </c>
      <c r="J1" s="14" t="s">
        <v>101</v>
      </c>
      <c r="K1" s="14" t="s">
        <v>102</v>
      </c>
      <c r="L1" s="14" t="s">
        <v>103</v>
      </c>
      <c r="M1" s="14" t="s">
        <v>104</v>
      </c>
      <c r="N1" s="14" t="s">
        <v>105</v>
      </c>
      <c r="O1" s="14" t="s">
        <v>106</v>
      </c>
      <c r="P1" s="14" t="s">
        <v>107</v>
      </c>
    </row>
    <row r="2" spans="1:16" ht="45" x14ac:dyDescent="0.2">
      <c r="A2" s="15" t="s">
        <v>713</v>
      </c>
      <c r="B2" s="16" t="s">
        <v>25</v>
      </c>
      <c r="C2" s="15" t="s">
        <v>714</v>
      </c>
      <c r="D2" s="16" t="s">
        <v>715</v>
      </c>
      <c r="E2" s="16" t="s">
        <v>716</v>
      </c>
      <c r="F2" s="16" t="s">
        <v>533</v>
      </c>
      <c r="G2" s="16" t="s">
        <v>717</v>
      </c>
      <c r="H2" s="16" t="s">
        <v>718</v>
      </c>
      <c r="I2" s="23" t="s">
        <v>46</v>
      </c>
      <c r="J2" s="15" t="s">
        <v>77</v>
      </c>
      <c r="K2" s="15" t="s">
        <v>115</v>
      </c>
      <c r="L2" s="16" t="s">
        <v>719</v>
      </c>
      <c r="M2" s="24" t="s">
        <v>9</v>
      </c>
      <c r="N2" s="16" t="s">
        <v>117</v>
      </c>
      <c r="O2" s="15" t="s">
        <v>118</v>
      </c>
      <c r="P2" s="16"/>
    </row>
    <row r="3" spans="1:16" ht="105" x14ac:dyDescent="0.2">
      <c r="A3" s="15" t="s">
        <v>720</v>
      </c>
      <c r="B3" s="16" t="s">
        <v>25</v>
      </c>
      <c r="C3" s="15" t="s">
        <v>714</v>
      </c>
      <c r="D3" s="16" t="s">
        <v>721</v>
      </c>
      <c r="E3" s="16" t="s">
        <v>722</v>
      </c>
      <c r="F3" s="16" t="s">
        <v>723</v>
      </c>
      <c r="G3" s="16" t="s">
        <v>724</v>
      </c>
      <c r="H3" s="16" t="s">
        <v>725</v>
      </c>
      <c r="I3" s="23" t="s">
        <v>46</v>
      </c>
      <c r="J3" s="15" t="s">
        <v>77</v>
      </c>
      <c r="K3" s="15" t="s">
        <v>115</v>
      </c>
      <c r="L3" s="16" t="s">
        <v>726</v>
      </c>
      <c r="M3" s="24" t="s">
        <v>9</v>
      </c>
      <c r="N3" s="16" t="s">
        <v>117</v>
      </c>
      <c r="O3" s="15" t="s">
        <v>118</v>
      </c>
      <c r="P3" s="16" t="s">
        <v>186</v>
      </c>
    </row>
    <row r="4" spans="1:16" ht="105" x14ac:dyDescent="0.2">
      <c r="A4" s="15" t="s">
        <v>727</v>
      </c>
      <c r="B4" s="16" t="s">
        <v>25</v>
      </c>
      <c r="C4" s="15" t="s">
        <v>714</v>
      </c>
      <c r="D4" s="16" t="s">
        <v>728</v>
      </c>
      <c r="E4" s="16" t="s">
        <v>722</v>
      </c>
      <c r="F4" s="16" t="s">
        <v>729</v>
      </c>
      <c r="G4" s="16" t="s">
        <v>730</v>
      </c>
      <c r="H4" s="16" t="s">
        <v>731</v>
      </c>
      <c r="I4" s="23" t="s">
        <v>46</v>
      </c>
      <c r="J4" s="15" t="s">
        <v>77</v>
      </c>
      <c r="K4" s="15" t="s">
        <v>57</v>
      </c>
      <c r="L4" s="16" t="s">
        <v>732</v>
      </c>
      <c r="M4" s="15" t="s">
        <v>12</v>
      </c>
      <c r="N4" s="16"/>
      <c r="O4" s="15"/>
      <c r="P4" s="16" t="s">
        <v>528</v>
      </c>
    </row>
    <row r="5" spans="1:16" ht="60" x14ac:dyDescent="0.2">
      <c r="A5" s="15" t="s">
        <v>733</v>
      </c>
      <c r="B5" s="16" t="s">
        <v>25</v>
      </c>
      <c r="C5" s="15" t="s">
        <v>714</v>
      </c>
      <c r="D5" s="16" t="s">
        <v>734</v>
      </c>
      <c r="E5" s="16" t="s">
        <v>735</v>
      </c>
      <c r="F5" s="16" t="s">
        <v>736</v>
      </c>
      <c r="G5" s="16" t="s">
        <v>737</v>
      </c>
      <c r="H5" s="16" t="s">
        <v>738</v>
      </c>
      <c r="I5" s="23" t="s">
        <v>46</v>
      </c>
      <c r="J5" s="15" t="s">
        <v>77</v>
      </c>
      <c r="K5" s="15" t="s">
        <v>57</v>
      </c>
      <c r="L5" s="16" t="s">
        <v>432</v>
      </c>
      <c r="M5" s="15" t="s">
        <v>12</v>
      </c>
      <c r="N5" s="16"/>
      <c r="O5" s="15"/>
      <c r="P5" s="16" t="s">
        <v>528</v>
      </c>
    </row>
    <row r="6" spans="1:16" ht="60" x14ac:dyDescent="0.2">
      <c r="A6" s="15" t="s">
        <v>739</v>
      </c>
      <c r="B6" s="16" t="s">
        <v>25</v>
      </c>
      <c r="C6" s="15" t="s">
        <v>714</v>
      </c>
      <c r="D6" s="16" t="s">
        <v>740</v>
      </c>
      <c r="E6" s="16" t="s">
        <v>741</v>
      </c>
      <c r="F6" s="16" t="s">
        <v>742</v>
      </c>
      <c r="G6" s="16" t="s">
        <v>743</v>
      </c>
      <c r="H6" s="16" t="s">
        <v>744</v>
      </c>
      <c r="I6" s="27" t="s">
        <v>49</v>
      </c>
      <c r="J6" s="15" t="s">
        <v>82</v>
      </c>
      <c r="K6" s="15" t="s">
        <v>57</v>
      </c>
      <c r="L6" s="16" t="s">
        <v>432</v>
      </c>
      <c r="M6" s="15" t="s">
        <v>12</v>
      </c>
      <c r="N6" s="16"/>
      <c r="O6" s="15"/>
      <c r="P6" s="16" t="s">
        <v>528</v>
      </c>
    </row>
    <row r="7" spans="1:16" ht="60" x14ac:dyDescent="0.2">
      <c r="A7" s="15" t="s">
        <v>745</v>
      </c>
      <c r="B7" s="16" t="s">
        <v>25</v>
      </c>
      <c r="C7" s="15" t="s">
        <v>714</v>
      </c>
      <c r="D7" s="16" t="s">
        <v>746</v>
      </c>
      <c r="E7" s="16" t="s">
        <v>741</v>
      </c>
      <c r="F7" s="16" t="s">
        <v>747</v>
      </c>
      <c r="G7" s="16" t="s">
        <v>748</v>
      </c>
      <c r="H7" s="16" t="s">
        <v>749</v>
      </c>
      <c r="I7" s="25" t="s">
        <v>47</v>
      </c>
      <c r="J7" s="15" t="s">
        <v>82</v>
      </c>
      <c r="K7" s="15" t="s">
        <v>57</v>
      </c>
      <c r="L7" s="16" t="s">
        <v>432</v>
      </c>
      <c r="M7" s="15" t="s">
        <v>12</v>
      </c>
      <c r="N7" s="16"/>
      <c r="O7" s="15"/>
      <c r="P7" s="16" t="s">
        <v>528</v>
      </c>
    </row>
    <row r="8" spans="1:16" ht="60" x14ac:dyDescent="0.2">
      <c r="A8" s="15" t="s">
        <v>750</v>
      </c>
      <c r="B8" s="16" t="s">
        <v>25</v>
      </c>
      <c r="C8" s="15" t="s">
        <v>714</v>
      </c>
      <c r="D8" s="16" t="s">
        <v>751</v>
      </c>
      <c r="E8" s="16" t="s">
        <v>752</v>
      </c>
      <c r="F8" s="16" t="s">
        <v>753</v>
      </c>
      <c r="G8" s="16" t="s">
        <v>754</v>
      </c>
      <c r="H8" s="16" t="s">
        <v>755</v>
      </c>
      <c r="I8" s="23" t="s">
        <v>46</v>
      </c>
      <c r="J8" s="15" t="s">
        <v>77</v>
      </c>
      <c r="K8" s="15" t="s">
        <v>115</v>
      </c>
      <c r="L8" s="16" t="s">
        <v>756</v>
      </c>
      <c r="M8" s="24" t="s">
        <v>9</v>
      </c>
      <c r="N8" s="16" t="s">
        <v>117</v>
      </c>
      <c r="O8" s="15" t="s">
        <v>118</v>
      </c>
      <c r="P8" s="16" t="s">
        <v>308</v>
      </c>
    </row>
    <row r="9" spans="1:16" ht="60" x14ac:dyDescent="0.2">
      <c r="A9" s="15" t="s">
        <v>757</v>
      </c>
      <c r="B9" s="16" t="s">
        <v>25</v>
      </c>
      <c r="C9" s="15" t="s">
        <v>714</v>
      </c>
      <c r="D9" s="16" t="s">
        <v>758</v>
      </c>
      <c r="E9" s="16" t="s">
        <v>759</v>
      </c>
      <c r="F9" s="16" t="s">
        <v>760</v>
      </c>
      <c r="G9" s="16" t="s">
        <v>761</v>
      </c>
      <c r="H9" s="16" t="s">
        <v>762</v>
      </c>
      <c r="I9" s="23" t="s">
        <v>46</v>
      </c>
      <c r="J9" s="15" t="s">
        <v>82</v>
      </c>
      <c r="K9" s="15" t="s">
        <v>115</v>
      </c>
      <c r="L9" s="16" t="s">
        <v>763</v>
      </c>
      <c r="M9" s="24" t="s">
        <v>9</v>
      </c>
      <c r="N9" s="16" t="s">
        <v>117</v>
      </c>
      <c r="O9" s="15" t="s">
        <v>118</v>
      </c>
      <c r="P9" s="16" t="s">
        <v>264</v>
      </c>
    </row>
    <row r="10" spans="1:16" ht="60" x14ac:dyDescent="0.2">
      <c r="A10" s="15" t="s">
        <v>65</v>
      </c>
      <c r="B10" s="16" t="s">
        <v>25</v>
      </c>
      <c r="C10" s="15" t="s">
        <v>714</v>
      </c>
      <c r="D10" s="16" t="s">
        <v>764</v>
      </c>
      <c r="E10" s="16" t="s">
        <v>765</v>
      </c>
      <c r="F10" s="16" t="s">
        <v>766</v>
      </c>
      <c r="G10" s="16" t="s">
        <v>767</v>
      </c>
      <c r="H10" s="16" t="s">
        <v>768</v>
      </c>
      <c r="I10" s="27" t="s">
        <v>49</v>
      </c>
      <c r="J10" s="15" t="s">
        <v>77</v>
      </c>
      <c r="K10" s="15" t="s">
        <v>115</v>
      </c>
      <c r="L10" s="16" t="s">
        <v>769</v>
      </c>
      <c r="M10" s="26" t="s">
        <v>10</v>
      </c>
      <c r="N10" s="16" t="s">
        <v>117</v>
      </c>
      <c r="O10" s="15" t="s">
        <v>118</v>
      </c>
      <c r="P10" s="16" t="s">
        <v>770</v>
      </c>
    </row>
    <row r="11" spans="1:16" ht="60" x14ac:dyDescent="0.2">
      <c r="A11" s="15" t="s">
        <v>771</v>
      </c>
      <c r="B11" s="16" t="s">
        <v>25</v>
      </c>
      <c r="C11" s="15" t="s">
        <v>772</v>
      </c>
      <c r="D11" s="16" t="s">
        <v>773</v>
      </c>
      <c r="E11" s="16" t="s">
        <v>774</v>
      </c>
      <c r="F11" s="16" t="s">
        <v>775</v>
      </c>
      <c r="G11" s="16" t="s">
        <v>776</v>
      </c>
      <c r="H11" s="16" t="s">
        <v>777</v>
      </c>
      <c r="I11" s="23" t="s">
        <v>46</v>
      </c>
      <c r="J11" s="15" t="s">
        <v>77</v>
      </c>
      <c r="K11" s="15" t="s">
        <v>57</v>
      </c>
      <c r="L11" s="16" t="s">
        <v>778</v>
      </c>
      <c r="M11" s="15" t="s">
        <v>12</v>
      </c>
      <c r="N11" s="16"/>
      <c r="O11" s="15"/>
      <c r="P11" s="16" t="s">
        <v>528</v>
      </c>
    </row>
    <row r="12" spans="1:16" ht="90" x14ac:dyDescent="0.2">
      <c r="A12" s="15" t="s">
        <v>779</v>
      </c>
      <c r="B12" s="16" t="s">
        <v>25</v>
      </c>
      <c r="C12" s="15" t="s">
        <v>772</v>
      </c>
      <c r="D12" s="16" t="s">
        <v>780</v>
      </c>
      <c r="E12" s="16" t="s">
        <v>781</v>
      </c>
      <c r="F12" s="16" t="s">
        <v>782</v>
      </c>
      <c r="G12" s="16" t="s">
        <v>783</v>
      </c>
      <c r="H12" s="16" t="s">
        <v>784</v>
      </c>
      <c r="I12" s="23" t="s">
        <v>46</v>
      </c>
      <c r="J12" s="15" t="s">
        <v>82</v>
      </c>
      <c r="K12" s="15" t="s">
        <v>115</v>
      </c>
      <c r="L12" s="16" t="s">
        <v>785</v>
      </c>
      <c r="M12" s="24" t="s">
        <v>9</v>
      </c>
      <c r="N12" s="16" t="s">
        <v>117</v>
      </c>
      <c r="O12" s="15" t="s">
        <v>118</v>
      </c>
      <c r="P12" s="16"/>
    </row>
  </sheetData>
  <autoFilter ref="A1:P12" xr:uid="{00000000-0009-0000-0000-000007000000}"/>
  <dataValidations count="1">
    <dataValidation type="list" allowBlank="1" sqref="M2:M12" xr:uid="{00000000-0002-0000-0700-000000000000}">
      <formula1>"Pass,Fail,Blocked,Chưa thực hiện"</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
  <sheetViews>
    <sheetView zoomScaleNormal="100" workbookViewId="0">
      <pane xSplit="4" ySplit="1" topLeftCell="E2" activePane="bottomRight" state="frozen"/>
      <selection pane="topRight" activeCell="E1" sqref="E1"/>
      <selection pane="bottomLeft" activeCell="A2" sqref="A2"/>
      <selection pane="bottomRight"/>
    </sheetView>
  </sheetViews>
  <sheetFormatPr baseColWidth="10" defaultColWidth="8.6640625" defaultRowHeight="15" x14ac:dyDescent="0.2"/>
  <cols>
    <col min="1" max="1" width="11" customWidth="1"/>
    <col min="2" max="2" width="24" customWidth="1"/>
    <col min="3" max="3" width="12" customWidth="1"/>
    <col min="4" max="4" width="34" customWidth="1"/>
    <col min="5" max="5" width="28" customWidth="1"/>
    <col min="6" max="6" width="30" customWidth="1"/>
    <col min="7" max="7" width="38" customWidth="1"/>
    <col min="8" max="8" width="46" customWidth="1"/>
    <col min="9" max="9" width="11" customWidth="1"/>
    <col min="10" max="11" width="12" customWidth="1"/>
    <col min="12" max="12" width="26" customWidth="1"/>
    <col min="13" max="14" width="14" customWidth="1"/>
    <col min="15" max="15" width="13" customWidth="1"/>
    <col min="16" max="16" width="20" customWidth="1"/>
  </cols>
  <sheetData>
    <row r="1" spans="1:16" ht="31.5" customHeight="1" x14ac:dyDescent="0.2">
      <c r="A1" s="14" t="s">
        <v>60</v>
      </c>
      <c r="B1" s="14" t="s">
        <v>6</v>
      </c>
      <c r="C1" s="14" t="s">
        <v>94</v>
      </c>
      <c r="D1" s="14" t="s">
        <v>95</v>
      </c>
      <c r="E1" s="14" t="s">
        <v>96</v>
      </c>
      <c r="F1" s="14" t="s">
        <v>97</v>
      </c>
      <c r="G1" s="14" t="s">
        <v>98</v>
      </c>
      <c r="H1" s="14" t="s">
        <v>99</v>
      </c>
      <c r="I1" s="14" t="s">
        <v>100</v>
      </c>
      <c r="J1" s="14" t="s">
        <v>101</v>
      </c>
      <c r="K1" s="14" t="s">
        <v>102</v>
      </c>
      <c r="L1" s="14" t="s">
        <v>103</v>
      </c>
      <c r="M1" s="14" t="s">
        <v>104</v>
      </c>
      <c r="N1" s="14" t="s">
        <v>105</v>
      </c>
      <c r="O1" s="14" t="s">
        <v>106</v>
      </c>
      <c r="P1" s="14" t="s">
        <v>107</v>
      </c>
    </row>
    <row r="2" spans="1:16" ht="105" x14ac:dyDescent="0.2">
      <c r="A2" s="15" t="s">
        <v>786</v>
      </c>
      <c r="B2" s="16" t="s">
        <v>27</v>
      </c>
      <c r="C2" s="15" t="s">
        <v>787</v>
      </c>
      <c r="D2" s="16" t="s">
        <v>788</v>
      </c>
      <c r="E2" s="16" t="s">
        <v>789</v>
      </c>
      <c r="F2" s="16" t="s">
        <v>790</v>
      </c>
      <c r="G2" s="16" t="s">
        <v>791</v>
      </c>
      <c r="H2" s="16" t="s">
        <v>792</v>
      </c>
      <c r="I2" s="23" t="s">
        <v>46</v>
      </c>
      <c r="J2" s="15" t="s">
        <v>77</v>
      </c>
      <c r="K2" s="15" t="s">
        <v>57</v>
      </c>
      <c r="L2" s="16" t="s">
        <v>793</v>
      </c>
      <c r="M2" s="24" t="s">
        <v>9</v>
      </c>
      <c r="N2" s="16" t="s">
        <v>117</v>
      </c>
      <c r="O2" s="15" t="s">
        <v>118</v>
      </c>
      <c r="P2" s="16" t="s">
        <v>520</v>
      </c>
    </row>
    <row r="3" spans="1:16" ht="45" x14ac:dyDescent="0.2">
      <c r="A3" s="15" t="s">
        <v>794</v>
      </c>
      <c r="B3" s="16" t="s">
        <v>27</v>
      </c>
      <c r="C3" s="15" t="s">
        <v>787</v>
      </c>
      <c r="D3" s="16" t="s">
        <v>795</v>
      </c>
      <c r="E3" s="16" t="s">
        <v>252</v>
      </c>
      <c r="F3" s="16" t="s">
        <v>796</v>
      </c>
      <c r="G3" s="16" t="s">
        <v>797</v>
      </c>
      <c r="H3" s="16" t="s">
        <v>798</v>
      </c>
      <c r="I3" s="25" t="s">
        <v>47</v>
      </c>
      <c r="J3" s="15" t="s">
        <v>77</v>
      </c>
      <c r="K3" s="15" t="s">
        <v>115</v>
      </c>
      <c r="L3" s="16" t="s">
        <v>799</v>
      </c>
      <c r="M3" s="24" t="s">
        <v>9</v>
      </c>
      <c r="N3" s="16" t="s">
        <v>117</v>
      </c>
      <c r="O3" s="15" t="s">
        <v>118</v>
      </c>
      <c r="P3" s="16"/>
    </row>
    <row r="4" spans="1:16" ht="45" x14ac:dyDescent="0.2">
      <c r="A4" s="15" t="s">
        <v>800</v>
      </c>
      <c r="B4" s="16" t="s">
        <v>27</v>
      </c>
      <c r="C4" s="15" t="s">
        <v>787</v>
      </c>
      <c r="D4" s="16" t="s">
        <v>801</v>
      </c>
      <c r="E4" s="16" t="s">
        <v>802</v>
      </c>
      <c r="F4" s="16" t="s">
        <v>803</v>
      </c>
      <c r="G4" s="16" t="s">
        <v>804</v>
      </c>
      <c r="H4" s="16" t="s">
        <v>805</v>
      </c>
      <c r="I4" s="23" t="s">
        <v>46</v>
      </c>
      <c r="J4" s="15" t="s">
        <v>77</v>
      </c>
      <c r="K4" s="15" t="s">
        <v>115</v>
      </c>
      <c r="L4" s="16" t="s">
        <v>806</v>
      </c>
      <c r="M4" s="24" t="s">
        <v>9</v>
      </c>
      <c r="N4" s="16" t="s">
        <v>117</v>
      </c>
      <c r="O4" s="15" t="s">
        <v>118</v>
      </c>
      <c r="P4" s="16"/>
    </row>
    <row r="5" spans="1:16" ht="30" x14ac:dyDescent="0.2">
      <c r="A5" s="15" t="s">
        <v>807</v>
      </c>
      <c r="B5" s="16" t="s">
        <v>27</v>
      </c>
      <c r="C5" s="15" t="s">
        <v>787</v>
      </c>
      <c r="D5" s="16" t="s">
        <v>808</v>
      </c>
      <c r="E5" s="16" t="s">
        <v>809</v>
      </c>
      <c r="F5" s="16" t="s">
        <v>810</v>
      </c>
      <c r="G5" s="16" t="s">
        <v>811</v>
      </c>
      <c r="H5" s="16" t="s">
        <v>812</v>
      </c>
      <c r="I5" s="23" t="s">
        <v>46</v>
      </c>
      <c r="J5" s="15" t="s">
        <v>77</v>
      </c>
      <c r="K5" s="15" t="s">
        <v>115</v>
      </c>
      <c r="L5" s="16" t="s">
        <v>813</v>
      </c>
      <c r="M5" s="24" t="s">
        <v>9</v>
      </c>
      <c r="N5" s="16" t="s">
        <v>117</v>
      </c>
      <c r="O5" s="15" t="s">
        <v>118</v>
      </c>
      <c r="P5" s="16"/>
    </row>
    <row r="6" spans="1:16" ht="60" x14ac:dyDescent="0.2">
      <c r="A6" s="15" t="s">
        <v>814</v>
      </c>
      <c r="B6" s="16" t="s">
        <v>27</v>
      </c>
      <c r="C6" s="15" t="s">
        <v>787</v>
      </c>
      <c r="D6" s="16" t="s">
        <v>815</v>
      </c>
      <c r="E6" s="16" t="s">
        <v>816</v>
      </c>
      <c r="F6" s="16" t="s">
        <v>817</v>
      </c>
      <c r="G6" s="16" t="s">
        <v>818</v>
      </c>
      <c r="H6" s="16" t="s">
        <v>819</v>
      </c>
      <c r="I6" s="23" t="s">
        <v>46</v>
      </c>
      <c r="J6" s="15" t="s">
        <v>77</v>
      </c>
      <c r="K6" s="15" t="s">
        <v>57</v>
      </c>
      <c r="L6" s="16" t="s">
        <v>820</v>
      </c>
      <c r="M6" s="24" t="s">
        <v>9</v>
      </c>
      <c r="N6" s="16" t="s">
        <v>117</v>
      </c>
      <c r="O6" s="15" t="s">
        <v>118</v>
      </c>
      <c r="P6" s="16" t="s">
        <v>520</v>
      </c>
    </row>
    <row r="7" spans="1:16" ht="75" x14ac:dyDescent="0.2">
      <c r="A7" s="15" t="s">
        <v>821</v>
      </c>
      <c r="B7" s="16" t="s">
        <v>27</v>
      </c>
      <c r="C7" s="15" t="s">
        <v>787</v>
      </c>
      <c r="D7" s="16" t="s">
        <v>822</v>
      </c>
      <c r="E7" s="16" t="s">
        <v>823</v>
      </c>
      <c r="F7" s="16" t="s">
        <v>824</v>
      </c>
      <c r="G7" s="16" t="s">
        <v>825</v>
      </c>
      <c r="H7" s="16" t="s">
        <v>826</v>
      </c>
      <c r="I7" s="25" t="s">
        <v>47</v>
      </c>
      <c r="J7" s="15" t="s">
        <v>77</v>
      </c>
      <c r="K7" s="15" t="s">
        <v>57</v>
      </c>
      <c r="L7" s="16" t="s">
        <v>827</v>
      </c>
      <c r="M7" s="15" t="s">
        <v>12</v>
      </c>
      <c r="N7" s="16"/>
      <c r="O7" s="15"/>
      <c r="P7" s="16" t="s">
        <v>828</v>
      </c>
    </row>
    <row r="8" spans="1:16" ht="90" x14ac:dyDescent="0.2">
      <c r="A8" s="15" t="s">
        <v>829</v>
      </c>
      <c r="B8" s="16" t="s">
        <v>27</v>
      </c>
      <c r="C8" s="15" t="s">
        <v>787</v>
      </c>
      <c r="D8" s="16" t="s">
        <v>830</v>
      </c>
      <c r="E8" s="16" t="s">
        <v>831</v>
      </c>
      <c r="F8" s="16" t="s">
        <v>832</v>
      </c>
      <c r="G8" s="16" t="s">
        <v>833</v>
      </c>
      <c r="H8" s="16" t="s">
        <v>834</v>
      </c>
      <c r="I8" s="25" t="s">
        <v>47</v>
      </c>
      <c r="J8" s="15" t="s">
        <v>77</v>
      </c>
      <c r="K8" s="15" t="s">
        <v>57</v>
      </c>
      <c r="L8" s="16" t="s">
        <v>835</v>
      </c>
      <c r="M8" s="24" t="s">
        <v>9</v>
      </c>
      <c r="N8" s="16" t="s">
        <v>117</v>
      </c>
      <c r="O8" s="15" t="s">
        <v>118</v>
      </c>
      <c r="P8" s="16" t="s">
        <v>836</v>
      </c>
    </row>
    <row r="9" spans="1:16" ht="120" x14ac:dyDescent="0.2">
      <c r="A9" s="15" t="s">
        <v>84</v>
      </c>
      <c r="B9" s="16" t="s">
        <v>27</v>
      </c>
      <c r="C9" s="15" t="s">
        <v>787</v>
      </c>
      <c r="D9" s="16" t="s">
        <v>837</v>
      </c>
      <c r="E9" s="16" t="s">
        <v>838</v>
      </c>
      <c r="F9" s="16" t="s">
        <v>839</v>
      </c>
      <c r="G9" s="16" t="s">
        <v>840</v>
      </c>
      <c r="H9" s="16" t="s">
        <v>841</v>
      </c>
      <c r="I9" s="23" t="s">
        <v>46</v>
      </c>
      <c r="J9" s="15" t="s">
        <v>77</v>
      </c>
      <c r="K9" s="15" t="s">
        <v>57</v>
      </c>
      <c r="L9" s="16" t="s">
        <v>842</v>
      </c>
      <c r="M9" s="26" t="s">
        <v>10</v>
      </c>
      <c r="N9" s="16" t="s">
        <v>843</v>
      </c>
      <c r="O9" s="15" t="s">
        <v>118</v>
      </c>
      <c r="P9" s="16" t="s">
        <v>844</v>
      </c>
    </row>
    <row r="10" spans="1:16" ht="75" x14ac:dyDescent="0.2">
      <c r="A10" s="15" t="s">
        <v>845</v>
      </c>
      <c r="B10" s="16" t="s">
        <v>27</v>
      </c>
      <c r="C10" s="15" t="s">
        <v>787</v>
      </c>
      <c r="D10" s="16" t="s">
        <v>846</v>
      </c>
      <c r="E10" s="16" t="s">
        <v>847</v>
      </c>
      <c r="F10" s="16" t="s">
        <v>848</v>
      </c>
      <c r="G10" s="16" t="s">
        <v>849</v>
      </c>
      <c r="H10" s="16" t="s">
        <v>850</v>
      </c>
      <c r="I10" s="23" t="s">
        <v>46</v>
      </c>
      <c r="J10" s="15" t="s">
        <v>82</v>
      </c>
      <c r="K10" s="15" t="s">
        <v>115</v>
      </c>
      <c r="L10" s="16" t="s">
        <v>851</v>
      </c>
      <c r="M10" s="24" t="s">
        <v>9</v>
      </c>
      <c r="N10" s="16" t="s">
        <v>117</v>
      </c>
      <c r="O10" s="15" t="s">
        <v>118</v>
      </c>
      <c r="P10" s="16" t="s">
        <v>852</v>
      </c>
    </row>
    <row r="11" spans="1:16" ht="75" x14ac:dyDescent="0.2">
      <c r="A11" s="15" t="s">
        <v>853</v>
      </c>
      <c r="B11" s="16" t="s">
        <v>27</v>
      </c>
      <c r="C11" s="15" t="s">
        <v>787</v>
      </c>
      <c r="D11" s="16" t="s">
        <v>854</v>
      </c>
      <c r="E11" s="16" t="s">
        <v>855</v>
      </c>
      <c r="F11" s="16" t="s">
        <v>533</v>
      </c>
      <c r="G11" s="16" t="s">
        <v>856</v>
      </c>
      <c r="H11" s="16" t="s">
        <v>857</v>
      </c>
      <c r="I11" s="23" t="s">
        <v>46</v>
      </c>
      <c r="J11" s="15" t="s">
        <v>82</v>
      </c>
      <c r="K11" s="15" t="s">
        <v>115</v>
      </c>
      <c r="L11" s="16" t="s">
        <v>858</v>
      </c>
      <c r="M11" s="24" t="s">
        <v>9</v>
      </c>
      <c r="N11" s="16" t="s">
        <v>117</v>
      </c>
      <c r="O11" s="15" t="s">
        <v>118</v>
      </c>
      <c r="P11" s="16"/>
    </row>
  </sheetData>
  <autoFilter ref="A1:P11" xr:uid="{00000000-0009-0000-0000-000008000000}"/>
  <dataValidations count="1">
    <dataValidation type="list" allowBlank="1" sqref="M2:M11" xr:uid="{00000000-0002-0000-0800-000000000000}">
      <formula1>"Pass,Fail,Blocked,Chưa thực hiện"</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6"/>
  <sheetViews>
    <sheetView zoomScaleNormal="100" workbookViewId="0">
      <pane xSplit="4" ySplit="1" topLeftCell="E2" activePane="bottomRight" state="frozen"/>
      <selection pane="topRight" activeCell="E1" sqref="E1"/>
      <selection pane="bottomLeft" activeCell="A2" sqref="A2"/>
      <selection pane="bottomRight"/>
    </sheetView>
  </sheetViews>
  <sheetFormatPr baseColWidth="10" defaultColWidth="8.6640625" defaultRowHeight="15" x14ac:dyDescent="0.2"/>
  <cols>
    <col min="1" max="1" width="11" customWidth="1"/>
    <col min="2" max="2" width="24" customWidth="1"/>
    <col min="3" max="3" width="12" customWidth="1"/>
    <col min="4" max="4" width="34" customWidth="1"/>
    <col min="5" max="5" width="28" customWidth="1"/>
    <col min="6" max="6" width="30" customWidth="1"/>
    <col min="7" max="7" width="38" customWidth="1"/>
    <col min="8" max="8" width="46" customWidth="1"/>
    <col min="9" max="9" width="11" customWidth="1"/>
    <col min="10" max="11" width="12" customWidth="1"/>
    <col min="12" max="12" width="26" customWidth="1"/>
    <col min="13" max="14" width="14" customWidth="1"/>
    <col min="15" max="15" width="13" customWidth="1"/>
    <col min="16" max="16" width="20" customWidth="1"/>
  </cols>
  <sheetData>
    <row r="1" spans="1:16" ht="31.5" customHeight="1" x14ac:dyDescent="0.2">
      <c r="A1" s="14" t="s">
        <v>60</v>
      </c>
      <c r="B1" s="14" t="s">
        <v>6</v>
      </c>
      <c r="C1" s="14" t="s">
        <v>94</v>
      </c>
      <c r="D1" s="14" t="s">
        <v>95</v>
      </c>
      <c r="E1" s="14" t="s">
        <v>96</v>
      </c>
      <c r="F1" s="14" t="s">
        <v>97</v>
      </c>
      <c r="G1" s="14" t="s">
        <v>98</v>
      </c>
      <c r="H1" s="14" t="s">
        <v>99</v>
      </c>
      <c r="I1" s="14" t="s">
        <v>100</v>
      </c>
      <c r="J1" s="14" t="s">
        <v>101</v>
      </c>
      <c r="K1" s="14" t="s">
        <v>102</v>
      </c>
      <c r="L1" s="14" t="s">
        <v>103</v>
      </c>
      <c r="M1" s="14" t="s">
        <v>104</v>
      </c>
      <c r="N1" s="14" t="s">
        <v>105</v>
      </c>
      <c r="O1" s="14" t="s">
        <v>106</v>
      </c>
      <c r="P1" s="14" t="s">
        <v>107</v>
      </c>
    </row>
    <row r="2" spans="1:16" ht="45" x14ac:dyDescent="0.2">
      <c r="A2" s="15" t="s">
        <v>859</v>
      </c>
      <c r="B2" s="16" t="s">
        <v>29</v>
      </c>
      <c r="C2" s="15" t="s">
        <v>860</v>
      </c>
      <c r="D2" s="16" t="s">
        <v>861</v>
      </c>
      <c r="E2" s="16" t="s">
        <v>862</v>
      </c>
      <c r="F2" s="16" t="s">
        <v>863</v>
      </c>
      <c r="G2" s="16" t="s">
        <v>864</v>
      </c>
      <c r="H2" s="16" t="s">
        <v>865</v>
      </c>
      <c r="I2" s="23" t="s">
        <v>46</v>
      </c>
      <c r="J2" s="15" t="s">
        <v>77</v>
      </c>
      <c r="K2" s="15" t="s">
        <v>115</v>
      </c>
      <c r="L2" s="16" t="s">
        <v>866</v>
      </c>
      <c r="M2" s="24" t="s">
        <v>9</v>
      </c>
      <c r="N2" s="16" t="s">
        <v>117</v>
      </c>
      <c r="O2" s="15" t="s">
        <v>118</v>
      </c>
      <c r="P2" s="16"/>
    </row>
    <row r="3" spans="1:16" ht="30" x14ac:dyDescent="0.2">
      <c r="A3" s="15" t="s">
        <v>867</v>
      </c>
      <c r="B3" s="16" t="s">
        <v>29</v>
      </c>
      <c r="C3" s="15" t="s">
        <v>860</v>
      </c>
      <c r="D3" s="16" t="s">
        <v>868</v>
      </c>
      <c r="E3" s="16" t="s">
        <v>869</v>
      </c>
      <c r="F3" s="16" t="s">
        <v>863</v>
      </c>
      <c r="G3" s="16" t="s">
        <v>870</v>
      </c>
      <c r="H3" s="16" t="s">
        <v>871</v>
      </c>
      <c r="I3" s="25" t="s">
        <v>47</v>
      </c>
      <c r="J3" s="15" t="s">
        <v>77</v>
      </c>
      <c r="K3" s="15" t="s">
        <v>115</v>
      </c>
      <c r="L3" s="16" t="s">
        <v>872</v>
      </c>
      <c r="M3" s="24" t="s">
        <v>9</v>
      </c>
      <c r="N3" s="16" t="s">
        <v>117</v>
      </c>
      <c r="O3" s="15" t="s">
        <v>118</v>
      </c>
      <c r="P3" s="16"/>
    </row>
    <row r="4" spans="1:16" ht="30" x14ac:dyDescent="0.2">
      <c r="A4" s="15" t="s">
        <v>873</v>
      </c>
      <c r="B4" s="16" t="s">
        <v>29</v>
      </c>
      <c r="C4" s="15" t="s">
        <v>860</v>
      </c>
      <c r="D4" s="16" t="s">
        <v>874</v>
      </c>
      <c r="E4" s="16" t="s">
        <v>875</v>
      </c>
      <c r="F4" s="16" t="s">
        <v>876</v>
      </c>
      <c r="G4" s="16" t="s">
        <v>877</v>
      </c>
      <c r="H4" s="16" t="s">
        <v>878</v>
      </c>
      <c r="I4" s="27" t="s">
        <v>49</v>
      </c>
      <c r="J4" s="15" t="s">
        <v>77</v>
      </c>
      <c r="K4" s="15" t="s">
        <v>115</v>
      </c>
      <c r="L4" s="16" t="s">
        <v>879</v>
      </c>
      <c r="M4" s="24" t="s">
        <v>9</v>
      </c>
      <c r="N4" s="16" t="s">
        <v>117</v>
      </c>
      <c r="O4" s="15" t="s">
        <v>118</v>
      </c>
      <c r="P4" s="16"/>
    </row>
    <row r="5" spans="1:16" ht="120" x14ac:dyDescent="0.2">
      <c r="A5" s="15" t="s">
        <v>880</v>
      </c>
      <c r="B5" s="16" t="s">
        <v>29</v>
      </c>
      <c r="C5" s="15" t="s">
        <v>860</v>
      </c>
      <c r="D5" s="16" t="s">
        <v>881</v>
      </c>
      <c r="E5" s="16" t="s">
        <v>882</v>
      </c>
      <c r="F5" s="16" t="s">
        <v>883</v>
      </c>
      <c r="G5" s="16" t="s">
        <v>884</v>
      </c>
      <c r="H5" s="16" t="s">
        <v>885</v>
      </c>
      <c r="I5" s="27" t="s">
        <v>49</v>
      </c>
      <c r="J5" s="15" t="s">
        <v>77</v>
      </c>
      <c r="K5" s="15" t="s">
        <v>115</v>
      </c>
      <c r="L5" s="16" t="s">
        <v>886</v>
      </c>
      <c r="M5" s="24" t="s">
        <v>9</v>
      </c>
      <c r="N5" s="16" t="s">
        <v>117</v>
      </c>
      <c r="O5" s="15" t="s">
        <v>118</v>
      </c>
      <c r="P5" s="16" t="s">
        <v>551</v>
      </c>
    </row>
    <row r="6" spans="1:16" ht="90" x14ac:dyDescent="0.2">
      <c r="A6" s="15" t="s">
        <v>887</v>
      </c>
      <c r="B6" s="16" t="s">
        <v>29</v>
      </c>
      <c r="C6" s="15" t="s">
        <v>860</v>
      </c>
      <c r="D6" s="16" t="s">
        <v>888</v>
      </c>
      <c r="E6" s="16" t="s">
        <v>889</v>
      </c>
      <c r="F6" s="16" t="s">
        <v>863</v>
      </c>
      <c r="G6" s="16" t="s">
        <v>890</v>
      </c>
      <c r="H6" s="16" t="s">
        <v>891</v>
      </c>
      <c r="I6" s="23" t="s">
        <v>46</v>
      </c>
      <c r="J6" s="15" t="s">
        <v>77</v>
      </c>
      <c r="K6" s="15" t="s">
        <v>115</v>
      </c>
      <c r="L6" s="16" t="s">
        <v>892</v>
      </c>
      <c r="M6" s="24" t="s">
        <v>9</v>
      </c>
      <c r="N6" s="16" t="s">
        <v>117</v>
      </c>
      <c r="O6" s="15" t="s">
        <v>118</v>
      </c>
      <c r="P6" s="16" t="s">
        <v>308</v>
      </c>
    </row>
    <row r="7" spans="1:16" ht="30" x14ac:dyDescent="0.2">
      <c r="A7" s="15" t="s">
        <v>893</v>
      </c>
      <c r="B7" s="16" t="s">
        <v>29</v>
      </c>
      <c r="C7" s="15" t="s">
        <v>860</v>
      </c>
      <c r="D7" s="16" t="s">
        <v>894</v>
      </c>
      <c r="E7" s="16" t="s">
        <v>895</v>
      </c>
      <c r="F7" s="16" t="s">
        <v>863</v>
      </c>
      <c r="G7" s="16" t="s">
        <v>896</v>
      </c>
      <c r="H7" s="16" t="s">
        <v>897</v>
      </c>
      <c r="I7" s="25" t="s">
        <v>47</v>
      </c>
      <c r="J7" s="15" t="s">
        <v>77</v>
      </c>
      <c r="K7" s="15" t="s">
        <v>115</v>
      </c>
      <c r="L7" s="16" t="s">
        <v>898</v>
      </c>
      <c r="M7" s="24" t="s">
        <v>9</v>
      </c>
      <c r="N7" s="16" t="s">
        <v>117</v>
      </c>
      <c r="O7" s="15" t="s">
        <v>118</v>
      </c>
      <c r="P7" s="16"/>
    </row>
    <row r="8" spans="1:16" ht="45" x14ac:dyDescent="0.2">
      <c r="A8" s="15" t="s">
        <v>899</v>
      </c>
      <c r="B8" s="16" t="s">
        <v>29</v>
      </c>
      <c r="C8" s="15" t="s">
        <v>860</v>
      </c>
      <c r="D8" s="16" t="s">
        <v>900</v>
      </c>
      <c r="E8" s="16" t="s">
        <v>901</v>
      </c>
      <c r="F8" s="16" t="s">
        <v>902</v>
      </c>
      <c r="G8" s="16" t="s">
        <v>903</v>
      </c>
      <c r="H8" s="16" t="s">
        <v>904</v>
      </c>
      <c r="I8" s="23" t="s">
        <v>46</v>
      </c>
      <c r="J8" s="15" t="s">
        <v>77</v>
      </c>
      <c r="K8" s="15" t="s">
        <v>115</v>
      </c>
      <c r="L8" s="16" t="s">
        <v>905</v>
      </c>
      <c r="M8" s="24" t="s">
        <v>9</v>
      </c>
      <c r="N8" s="16" t="s">
        <v>117</v>
      </c>
      <c r="O8" s="15" t="s">
        <v>118</v>
      </c>
      <c r="P8" s="16"/>
    </row>
    <row r="9" spans="1:16" ht="90" x14ac:dyDescent="0.2">
      <c r="A9" s="15" t="s">
        <v>906</v>
      </c>
      <c r="B9" s="16" t="s">
        <v>29</v>
      </c>
      <c r="C9" s="15" t="s">
        <v>907</v>
      </c>
      <c r="D9" s="16" t="s">
        <v>908</v>
      </c>
      <c r="E9" s="16" t="s">
        <v>909</v>
      </c>
      <c r="F9" s="16" t="s">
        <v>910</v>
      </c>
      <c r="G9" s="16" t="s">
        <v>911</v>
      </c>
      <c r="H9" s="16" t="s">
        <v>912</v>
      </c>
      <c r="I9" s="23" t="s">
        <v>46</v>
      </c>
      <c r="J9" s="15" t="s">
        <v>77</v>
      </c>
      <c r="K9" s="15" t="s">
        <v>115</v>
      </c>
      <c r="L9" s="16" t="s">
        <v>913</v>
      </c>
      <c r="M9" s="24" t="s">
        <v>9</v>
      </c>
      <c r="N9" s="16" t="s">
        <v>117</v>
      </c>
      <c r="O9" s="15" t="s">
        <v>118</v>
      </c>
      <c r="P9" s="16"/>
    </row>
    <row r="10" spans="1:16" ht="60" x14ac:dyDescent="0.2">
      <c r="A10" s="15" t="s">
        <v>914</v>
      </c>
      <c r="B10" s="16" t="s">
        <v>29</v>
      </c>
      <c r="C10" s="15" t="s">
        <v>907</v>
      </c>
      <c r="D10" s="16" t="s">
        <v>915</v>
      </c>
      <c r="E10" s="16" t="s">
        <v>916</v>
      </c>
      <c r="F10" s="16" t="s">
        <v>917</v>
      </c>
      <c r="G10" s="16" t="s">
        <v>918</v>
      </c>
      <c r="H10" s="16" t="s">
        <v>919</v>
      </c>
      <c r="I10" s="25" t="s">
        <v>47</v>
      </c>
      <c r="J10" s="15" t="s">
        <v>77</v>
      </c>
      <c r="K10" s="15" t="s">
        <v>115</v>
      </c>
      <c r="L10" s="16" t="s">
        <v>920</v>
      </c>
      <c r="M10" s="15" t="s">
        <v>12</v>
      </c>
      <c r="N10" s="16"/>
      <c r="O10" s="15"/>
      <c r="P10" s="16" t="s">
        <v>410</v>
      </c>
    </row>
    <row r="11" spans="1:16" ht="90" x14ac:dyDescent="0.2">
      <c r="A11" s="15" t="s">
        <v>921</v>
      </c>
      <c r="B11" s="16" t="s">
        <v>29</v>
      </c>
      <c r="C11" s="15" t="s">
        <v>907</v>
      </c>
      <c r="D11" s="16" t="s">
        <v>922</v>
      </c>
      <c r="E11" s="16" t="s">
        <v>923</v>
      </c>
      <c r="F11" s="16" t="s">
        <v>924</v>
      </c>
      <c r="G11" s="16" t="s">
        <v>925</v>
      </c>
      <c r="H11" s="16" t="s">
        <v>926</v>
      </c>
      <c r="I11" s="23" t="s">
        <v>46</v>
      </c>
      <c r="J11" s="15" t="s">
        <v>77</v>
      </c>
      <c r="K11" s="15" t="s">
        <v>115</v>
      </c>
      <c r="L11" s="16" t="s">
        <v>927</v>
      </c>
      <c r="M11" s="24" t="s">
        <v>9</v>
      </c>
      <c r="N11" s="16" t="s">
        <v>117</v>
      </c>
      <c r="O11" s="15" t="s">
        <v>118</v>
      </c>
      <c r="P11" s="16" t="s">
        <v>308</v>
      </c>
    </row>
    <row r="12" spans="1:16" ht="60" x14ac:dyDescent="0.2">
      <c r="A12" s="15" t="s">
        <v>928</v>
      </c>
      <c r="B12" s="16" t="s">
        <v>29</v>
      </c>
      <c r="C12" s="15" t="s">
        <v>929</v>
      </c>
      <c r="D12" s="16" t="s">
        <v>930</v>
      </c>
      <c r="E12" s="16" t="s">
        <v>909</v>
      </c>
      <c r="F12" s="16" t="s">
        <v>931</v>
      </c>
      <c r="G12" s="16" t="s">
        <v>932</v>
      </c>
      <c r="H12" s="16" t="s">
        <v>933</v>
      </c>
      <c r="I12" s="23" t="s">
        <v>46</v>
      </c>
      <c r="J12" s="15" t="s">
        <v>77</v>
      </c>
      <c r="K12" s="15" t="s">
        <v>115</v>
      </c>
      <c r="L12" s="16" t="s">
        <v>934</v>
      </c>
      <c r="M12" s="24" t="s">
        <v>9</v>
      </c>
      <c r="N12" s="16" t="s">
        <v>117</v>
      </c>
      <c r="O12" s="15" t="s">
        <v>118</v>
      </c>
      <c r="P12" s="16"/>
    </row>
    <row r="13" spans="1:16" ht="90" x14ac:dyDescent="0.2">
      <c r="A13" s="15" t="s">
        <v>935</v>
      </c>
      <c r="B13" s="16" t="s">
        <v>29</v>
      </c>
      <c r="C13" s="15" t="s">
        <v>929</v>
      </c>
      <c r="D13" s="16" t="s">
        <v>936</v>
      </c>
      <c r="E13" s="16" t="s">
        <v>916</v>
      </c>
      <c r="F13" s="16" t="s">
        <v>937</v>
      </c>
      <c r="G13" s="16" t="s">
        <v>938</v>
      </c>
      <c r="H13" s="16" t="s">
        <v>939</v>
      </c>
      <c r="I13" s="25" t="s">
        <v>47</v>
      </c>
      <c r="J13" s="15" t="s">
        <v>82</v>
      </c>
      <c r="K13" s="15" t="s">
        <v>115</v>
      </c>
      <c r="L13" s="16" t="s">
        <v>940</v>
      </c>
      <c r="M13" s="24" t="s">
        <v>9</v>
      </c>
      <c r="N13" s="16" t="s">
        <v>117</v>
      </c>
      <c r="O13" s="15" t="s">
        <v>118</v>
      </c>
      <c r="P13" s="16" t="s">
        <v>264</v>
      </c>
    </row>
    <row r="14" spans="1:16" ht="90" x14ac:dyDescent="0.2">
      <c r="A14" s="15" t="s">
        <v>941</v>
      </c>
      <c r="B14" s="16" t="s">
        <v>29</v>
      </c>
      <c r="C14" s="15" t="s">
        <v>942</v>
      </c>
      <c r="D14" s="16" t="s">
        <v>943</v>
      </c>
      <c r="E14" s="16" t="s">
        <v>944</v>
      </c>
      <c r="F14" s="16" t="s">
        <v>945</v>
      </c>
      <c r="G14" s="16" t="s">
        <v>946</v>
      </c>
      <c r="H14" s="16" t="s">
        <v>947</v>
      </c>
      <c r="I14" s="23" t="s">
        <v>46</v>
      </c>
      <c r="J14" s="15" t="s">
        <v>77</v>
      </c>
      <c r="K14" s="15" t="s">
        <v>57</v>
      </c>
      <c r="L14" s="16" t="s">
        <v>948</v>
      </c>
      <c r="M14" s="24" t="s">
        <v>9</v>
      </c>
      <c r="N14" s="16" t="s">
        <v>117</v>
      </c>
      <c r="O14" s="15" t="s">
        <v>118</v>
      </c>
      <c r="P14" s="16" t="s">
        <v>949</v>
      </c>
    </row>
    <row r="15" spans="1:16" ht="60" x14ac:dyDescent="0.2">
      <c r="A15" s="15" t="s">
        <v>950</v>
      </c>
      <c r="B15" s="16" t="s">
        <v>29</v>
      </c>
      <c r="C15" s="15" t="s">
        <v>942</v>
      </c>
      <c r="D15" s="16" t="s">
        <v>951</v>
      </c>
      <c r="E15" s="16" t="s">
        <v>952</v>
      </c>
      <c r="F15" s="16" t="s">
        <v>953</v>
      </c>
      <c r="G15" s="16" t="s">
        <v>954</v>
      </c>
      <c r="H15" s="16" t="s">
        <v>955</v>
      </c>
      <c r="I15" s="23" t="s">
        <v>46</v>
      </c>
      <c r="J15" s="15" t="s">
        <v>77</v>
      </c>
      <c r="K15" s="15" t="s">
        <v>115</v>
      </c>
      <c r="L15" s="16" t="s">
        <v>956</v>
      </c>
      <c r="M15" s="24" t="s">
        <v>9</v>
      </c>
      <c r="N15" s="16" t="s">
        <v>117</v>
      </c>
      <c r="O15" s="15" t="s">
        <v>118</v>
      </c>
      <c r="P15" s="16" t="s">
        <v>264</v>
      </c>
    </row>
    <row r="16" spans="1:16" ht="30" x14ac:dyDescent="0.2">
      <c r="A16" s="15" t="s">
        <v>957</v>
      </c>
      <c r="B16" s="16" t="s">
        <v>29</v>
      </c>
      <c r="C16" s="15" t="s">
        <v>942</v>
      </c>
      <c r="D16" s="16" t="s">
        <v>958</v>
      </c>
      <c r="E16" s="16" t="s">
        <v>916</v>
      </c>
      <c r="F16" s="16" t="s">
        <v>863</v>
      </c>
      <c r="G16" s="16" t="s">
        <v>959</v>
      </c>
      <c r="H16" s="16" t="s">
        <v>960</v>
      </c>
      <c r="I16" s="27" t="s">
        <v>49</v>
      </c>
      <c r="J16" s="15" t="s">
        <v>77</v>
      </c>
      <c r="K16" s="15" t="s">
        <v>115</v>
      </c>
      <c r="L16" s="16" t="s">
        <v>402</v>
      </c>
      <c r="M16" s="24" t="s">
        <v>9</v>
      </c>
      <c r="N16" s="16" t="s">
        <v>117</v>
      </c>
      <c r="O16" s="15" t="s">
        <v>118</v>
      </c>
      <c r="P16" s="16"/>
    </row>
  </sheetData>
  <autoFilter ref="A1:P16" xr:uid="{00000000-0009-0000-0000-000009000000}"/>
  <dataValidations count="1">
    <dataValidation type="list" allowBlank="1" sqref="M2:M16" xr:uid="{00000000-0002-0000-0900-000000000000}">
      <formula1>"Pass,Fail,Blocked,Chưa thực hiện"</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11"/>
  <sheetViews>
    <sheetView zoomScaleNormal="100" workbookViewId="0">
      <pane xSplit="4" ySplit="1" topLeftCell="E2" activePane="bottomRight" state="frozen"/>
      <selection pane="topRight" activeCell="E1" sqref="E1"/>
      <selection pane="bottomLeft" activeCell="A2" sqref="A2"/>
      <selection pane="bottomRight"/>
    </sheetView>
  </sheetViews>
  <sheetFormatPr baseColWidth="10" defaultColWidth="8.6640625" defaultRowHeight="15" x14ac:dyDescent="0.2"/>
  <cols>
    <col min="1" max="1" width="11" customWidth="1"/>
    <col min="2" max="2" width="24" customWidth="1"/>
    <col min="3" max="3" width="12" customWidth="1"/>
    <col min="4" max="4" width="34" customWidth="1"/>
    <col min="5" max="5" width="28" customWidth="1"/>
    <col min="6" max="6" width="30" customWidth="1"/>
    <col min="7" max="7" width="38" customWidth="1"/>
    <col min="8" max="8" width="46" customWidth="1"/>
    <col min="9" max="9" width="11" customWidth="1"/>
    <col min="10" max="11" width="12" customWidth="1"/>
    <col min="12" max="12" width="26" customWidth="1"/>
    <col min="13" max="14" width="14" customWidth="1"/>
    <col min="15" max="15" width="13" customWidth="1"/>
    <col min="16" max="16" width="20" customWidth="1"/>
  </cols>
  <sheetData>
    <row r="1" spans="1:16" ht="31.5" customHeight="1" x14ac:dyDescent="0.2">
      <c r="A1" s="14" t="s">
        <v>60</v>
      </c>
      <c r="B1" s="14" t="s">
        <v>6</v>
      </c>
      <c r="C1" s="14" t="s">
        <v>94</v>
      </c>
      <c r="D1" s="14" t="s">
        <v>95</v>
      </c>
      <c r="E1" s="14" t="s">
        <v>96</v>
      </c>
      <c r="F1" s="14" t="s">
        <v>97</v>
      </c>
      <c r="G1" s="14" t="s">
        <v>98</v>
      </c>
      <c r="H1" s="14" t="s">
        <v>99</v>
      </c>
      <c r="I1" s="14" t="s">
        <v>100</v>
      </c>
      <c r="J1" s="14" t="s">
        <v>101</v>
      </c>
      <c r="K1" s="14" t="s">
        <v>102</v>
      </c>
      <c r="L1" s="14" t="s">
        <v>103</v>
      </c>
      <c r="M1" s="14" t="s">
        <v>104</v>
      </c>
      <c r="N1" s="14" t="s">
        <v>105</v>
      </c>
      <c r="O1" s="14" t="s">
        <v>106</v>
      </c>
      <c r="P1" s="14" t="s">
        <v>107</v>
      </c>
    </row>
    <row r="2" spans="1:16" ht="105" x14ac:dyDescent="0.2">
      <c r="A2" s="15" t="s">
        <v>961</v>
      </c>
      <c r="B2" s="16" t="s">
        <v>31</v>
      </c>
      <c r="C2" s="15" t="s">
        <v>962</v>
      </c>
      <c r="D2" s="16" t="s">
        <v>963</v>
      </c>
      <c r="E2" s="16" t="s">
        <v>964</v>
      </c>
      <c r="F2" s="16" t="s">
        <v>965</v>
      </c>
      <c r="G2" s="16" t="s">
        <v>966</v>
      </c>
      <c r="H2" s="16" t="s">
        <v>967</v>
      </c>
      <c r="I2" s="23" t="s">
        <v>46</v>
      </c>
      <c r="J2" s="15" t="s">
        <v>77</v>
      </c>
      <c r="K2" s="15" t="s">
        <v>115</v>
      </c>
      <c r="L2" s="16" t="s">
        <v>968</v>
      </c>
      <c r="M2" s="24" t="s">
        <v>9</v>
      </c>
      <c r="N2" s="16" t="s">
        <v>117</v>
      </c>
      <c r="O2" s="15" t="s">
        <v>118</v>
      </c>
      <c r="P2" s="16" t="s">
        <v>969</v>
      </c>
    </row>
    <row r="3" spans="1:16" ht="75" x14ac:dyDescent="0.2">
      <c r="A3" s="15" t="s">
        <v>970</v>
      </c>
      <c r="B3" s="16" t="s">
        <v>31</v>
      </c>
      <c r="C3" s="15" t="s">
        <v>962</v>
      </c>
      <c r="D3" s="16" t="s">
        <v>971</v>
      </c>
      <c r="E3" s="16" t="s">
        <v>972</v>
      </c>
      <c r="F3" s="16" t="s">
        <v>973</v>
      </c>
      <c r="G3" s="16" t="s">
        <v>974</v>
      </c>
      <c r="H3" s="16" t="s">
        <v>975</v>
      </c>
      <c r="I3" s="23" t="s">
        <v>46</v>
      </c>
      <c r="J3" s="15" t="s">
        <v>77</v>
      </c>
      <c r="K3" s="15" t="s">
        <v>115</v>
      </c>
      <c r="L3" s="16" t="s">
        <v>976</v>
      </c>
      <c r="M3" s="24" t="s">
        <v>9</v>
      </c>
      <c r="N3" s="16" t="s">
        <v>117</v>
      </c>
      <c r="O3" s="15" t="s">
        <v>118</v>
      </c>
      <c r="P3" s="16" t="s">
        <v>308</v>
      </c>
    </row>
    <row r="4" spans="1:16" ht="75" x14ac:dyDescent="0.2">
      <c r="A4" s="15" t="s">
        <v>977</v>
      </c>
      <c r="B4" s="16" t="s">
        <v>31</v>
      </c>
      <c r="C4" s="15" t="s">
        <v>978</v>
      </c>
      <c r="D4" s="16" t="s">
        <v>979</v>
      </c>
      <c r="E4" s="16" t="s">
        <v>980</v>
      </c>
      <c r="F4" s="16" t="s">
        <v>981</v>
      </c>
      <c r="G4" s="16" t="s">
        <v>982</v>
      </c>
      <c r="H4" s="16" t="s">
        <v>983</v>
      </c>
      <c r="I4" s="23" t="s">
        <v>46</v>
      </c>
      <c r="J4" s="15" t="s">
        <v>77</v>
      </c>
      <c r="K4" s="15" t="s">
        <v>115</v>
      </c>
      <c r="L4" s="16" t="s">
        <v>984</v>
      </c>
      <c r="M4" s="24" t="s">
        <v>9</v>
      </c>
      <c r="N4" s="16" t="s">
        <v>117</v>
      </c>
      <c r="O4" s="15" t="s">
        <v>118</v>
      </c>
      <c r="P4" s="16" t="s">
        <v>186</v>
      </c>
    </row>
    <row r="5" spans="1:16" ht="45" x14ac:dyDescent="0.2">
      <c r="A5" s="15" t="s">
        <v>985</v>
      </c>
      <c r="B5" s="16" t="s">
        <v>31</v>
      </c>
      <c r="C5" s="15" t="s">
        <v>978</v>
      </c>
      <c r="D5" s="16" t="s">
        <v>986</v>
      </c>
      <c r="E5" s="16" t="s">
        <v>987</v>
      </c>
      <c r="F5" s="16" t="s">
        <v>988</v>
      </c>
      <c r="G5" s="16" t="s">
        <v>989</v>
      </c>
      <c r="H5" s="16" t="s">
        <v>990</v>
      </c>
      <c r="I5" s="27" t="s">
        <v>49</v>
      </c>
      <c r="J5" s="15" t="s">
        <v>77</v>
      </c>
      <c r="K5" s="15" t="s">
        <v>115</v>
      </c>
      <c r="L5" s="16" t="s">
        <v>991</v>
      </c>
      <c r="M5" s="24" t="s">
        <v>9</v>
      </c>
      <c r="N5" s="16" t="s">
        <v>117</v>
      </c>
      <c r="O5" s="15" t="s">
        <v>118</v>
      </c>
      <c r="P5" s="16"/>
    </row>
    <row r="6" spans="1:16" ht="105" x14ac:dyDescent="0.2">
      <c r="A6" s="15" t="s">
        <v>70</v>
      </c>
      <c r="B6" s="16" t="s">
        <v>31</v>
      </c>
      <c r="C6" s="15" t="s">
        <v>978</v>
      </c>
      <c r="D6" s="16" t="s">
        <v>992</v>
      </c>
      <c r="E6" s="16" t="s">
        <v>980</v>
      </c>
      <c r="F6" s="16" t="s">
        <v>993</v>
      </c>
      <c r="G6" s="16" t="s">
        <v>994</v>
      </c>
      <c r="H6" s="16" t="s">
        <v>995</v>
      </c>
      <c r="I6" s="27" t="s">
        <v>49</v>
      </c>
      <c r="J6" s="15" t="s">
        <v>77</v>
      </c>
      <c r="K6" s="15" t="s">
        <v>115</v>
      </c>
      <c r="L6" s="16" t="s">
        <v>996</v>
      </c>
      <c r="M6" s="26" t="s">
        <v>10</v>
      </c>
      <c r="N6" s="16" t="s">
        <v>117</v>
      </c>
      <c r="O6" s="15" t="s">
        <v>118</v>
      </c>
      <c r="P6" s="16" t="s">
        <v>997</v>
      </c>
    </row>
    <row r="7" spans="1:16" ht="60" x14ac:dyDescent="0.2">
      <c r="A7" s="15" t="s">
        <v>998</v>
      </c>
      <c r="B7" s="16" t="s">
        <v>31</v>
      </c>
      <c r="C7" s="15" t="s">
        <v>978</v>
      </c>
      <c r="D7" s="16" t="s">
        <v>999</v>
      </c>
      <c r="E7" s="16" t="s">
        <v>1000</v>
      </c>
      <c r="F7" s="16" t="s">
        <v>1001</v>
      </c>
      <c r="G7" s="16" t="s">
        <v>1002</v>
      </c>
      <c r="H7" s="16" t="s">
        <v>1003</v>
      </c>
      <c r="I7" s="23" t="s">
        <v>46</v>
      </c>
      <c r="J7" s="15" t="s">
        <v>82</v>
      </c>
      <c r="K7" s="15" t="s">
        <v>115</v>
      </c>
      <c r="L7" s="16" t="s">
        <v>1004</v>
      </c>
      <c r="M7" s="24" t="s">
        <v>9</v>
      </c>
      <c r="N7" s="16" t="s">
        <v>117</v>
      </c>
      <c r="O7" s="15" t="s">
        <v>118</v>
      </c>
      <c r="P7" s="16" t="s">
        <v>308</v>
      </c>
    </row>
    <row r="8" spans="1:16" ht="45" x14ac:dyDescent="0.2">
      <c r="A8" s="15" t="s">
        <v>1005</v>
      </c>
      <c r="B8" s="16" t="s">
        <v>31</v>
      </c>
      <c r="C8" s="15" t="s">
        <v>978</v>
      </c>
      <c r="D8" s="16" t="s">
        <v>1006</v>
      </c>
      <c r="E8" s="16" t="s">
        <v>1007</v>
      </c>
      <c r="F8" s="16" t="s">
        <v>533</v>
      </c>
      <c r="G8" s="16" t="s">
        <v>1008</v>
      </c>
      <c r="H8" s="16" t="s">
        <v>1009</v>
      </c>
      <c r="I8" s="27" t="s">
        <v>49</v>
      </c>
      <c r="J8" s="15" t="s">
        <v>77</v>
      </c>
      <c r="K8" s="15" t="s">
        <v>115</v>
      </c>
      <c r="L8" s="16" t="s">
        <v>1010</v>
      </c>
      <c r="M8" s="24" t="s">
        <v>9</v>
      </c>
      <c r="N8" s="16" t="s">
        <v>117</v>
      </c>
      <c r="O8" s="15" t="s">
        <v>118</v>
      </c>
      <c r="P8" s="16"/>
    </row>
    <row r="9" spans="1:16" ht="105" x14ac:dyDescent="0.2">
      <c r="A9" s="15" t="s">
        <v>1011</v>
      </c>
      <c r="B9" s="16" t="s">
        <v>31</v>
      </c>
      <c r="C9" s="15" t="s">
        <v>1012</v>
      </c>
      <c r="D9" s="16" t="s">
        <v>1013</v>
      </c>
      <c r="E9" s="16" t="s">
        <v>1014</v>
      </c>
      <c r="F9" s="16" t="s">
        <v>1015</v>
      </c>
      <c r="G9" s="16" t="s">
        <v>1016</v>
      </c>
      <c r="H9" s="16" t="s">
        <v>1017</v>
      </c>
      <c r="I9" s="23" t="s">
        <v>46</v>
      </c>
      <c r="J9" s="15" t="s">
        <v>77</v>
      </c>
      <c r="K9" s="15" t="s">
        <v>57</v>
      </c>
      <c r="L9" s="16" t="s">
        <v>1018</v>
      </c>
      <c r="M9" s="24" t="s">
        <v>9</v>
      </c>
      <c r="N9" s="16" t="s">
        <v>117</v>
      </c>
      <c r="O9" s="15" t="s">
        <v>118</v>
      </c>
      <c r="P9" s="16" t="s">
        <v>520</v>
      </c>
    </row>
    <row r="10" spans="1:16" ht="60" x14ac:dyDescent="0.2">
      <c r="A10" s="15" t="s">
        <v>1019</v>
      </c>
      <c r="B10" s="16" t="s">
        <v>31</v>
      </c>
      <c r="C10" s="15" t="s">
        <v>1020</v>
      </c>
      <c r="D10" s="16" t="s">
        <v>1021</v>
      </c>
      <c r="E10" s="16" t="s">
        <v>1022</v>
      </c>
      <c r="F10" s="16" t="s">
        <v>1015</v>
      </c>
      <c r="G10" s="16" t="s">
        <v>1023</v>
      </c>
      <c r="H10" s="16" t="s">
        <v>1024</v>
      </c>
      <c r="I10" s="23" t="s">
        <v>46</v>
      </c>
      <c r="J10" s="15" t="s">
        <v>82</v>
      </c>
      <c r="K10" s="15" t="s">
        <v>115</v>
      </c>
      <c r="L10" s="16" t="s">
        <v>1025</v>
      </c>
      <c r="M10" s="24" t="s">
        <v>9</v>
      </c>
      <c r="N10" s="16" t="s">
        <v>117</v>
      </c>
      <c r="O10" s="15" t="s">
        <v>118</v>
      </c>
      <c r="P10" s="16" t="s">
        <v>264</v>
      </c>
    </row>
    <row r="11" spans="1:16" ht="30" x14ac:dyDescent="0.2">
      <c r="A11" s="15" t="s">
        <v>1026</v>
      </c>
      <c r="B11" s="16" t="s">
        <v>31</v>
      </c>
      <c r="C11" s="15" t="s">
        <v>1020</v>
      </c>
      <c r="D11" s="16" t="s">
        <v>1027</v>
      </c>
      <c r="E11" s="16" t="s">
        <v>1028</v>
      </c>
      <c r="F11" s="16" t="s">
        <v>1029</v>
      </c>
      <c r="G11" s="16" t="s">
        <v>1030</v>
      </c>
      <c r="H11" s="16" t="s">
        <v>1031</v>
      </c>
      <c r="I11" s="27" t="s">
        <v>49</v>
      </c>
      <c r="J11" s="15" t="s">
        <v>77</v>
      </c>
      <c r="K11" s="15" t="s">
        <v>115</v>
      </c>
      <c r="L11" s="16" t="s">
        <v>1032</v>
      </c>
      <c r="M11" s="24" t="s">
        <v>9</v>
      </c>
      <c r="N11" s="16" t="s">
        <v>117</v>
      </c>
      <c r="O11" s="15" t="s">
        <v>118</v>
      </c>
      <c r="P11" s="16"/>
    </row>
  </sheetData>
  <autoFilter ref="A1:P11" xr:uid="{00000000-0009-0000-0000-00000A000000}"/>
  <dataValidations count="1">
    <dataValidation type="list" allowBlank="1" sqref="M2:M11" xr:uid="{00000000-0002-0000-0A00-000000000000}">
      <formula1>"Pass,Fail,Blocked,Chưa thực hiện"</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9"/>
  <sheetViews>
    <sheetView tabSelected="1" topLeftCell="A7" zoomScale="210" zoomScaleNormal="210" workbookViewId="0">
      <selection sqref="A1:H1"/>
    </sheetView>
  </sheetViews>
  <sheetFormatPr baseColWidth="10" defaultColWidth="8.6640625" defaultRowHeight="15" x14ac:dyDescent="0.2"/>
  <cols>
    <col min="1" max="1" width="10" customWidth="1"/>
    <col min="2" max="2" width="12" customWidth="1"/>
    <col min="3" max="3" width="60" customWidth="1"/>
    <col min="4" max="5" width="9" customWidth="1"/>
    <col min="6" max="6" width="13" customWidth="1"/>
    <col min="7" max="7" width="12" customWidth="1"/>
    <col min="8" max="8" width="34" customWidth="1"/>
  </cols>
  <sheetData>
    <row r="1" spans="1:8" ht="18" x14ac:dyDescent="0.2">
      <c r="A1" s="12" t="s">
        <v>1033</v>
      </c>
      <c r="B1" s="12"/>
      <c r="C1" s="12"/>
      <c r="D1" s="12"/>
      <c r="E1" s="12"/>
      <c r="F1" s="12"/>
      <c r="G1" s="12"/>
      <c r="H1" s="12"/>
    </row>
    <row r="3" spans="1:8" ht="31.5" customHeight="1" x14ac:dyDescent="0.2">
      <c r="A3" s="14" t="s">
        <v>1034</v>
      </c>
      <c r="B3" s="14" t="s">
        <v>1035</v>
      </c>
      <c r="C3" s="14" t="s">
        <v>1036</v>
      </c>
      <c r="D3" s="14" t="s">
        <v>9</v>
      </c>
      <c r="E3" s="14" t="s">
        <v>10</v>
      </c>
      <c r="F3" s="14" t="s">
        <v>12</v>
      </c>
      <c r="G3" s="14" t="s">
        <v>8</v>
      </c>
      <c r="H3" s="14" t="s">
        <v>107</v>
      </c>
    </row>
    <row r="4" spans="1:8" ht="30" x14ac:dyDescent="0.2">
      <c r="A4" s="15" t="s">
        <v>109</v>
      </c>
      <c r="B4" s="15">
        <f>COUNTIF('Toàn bộ Test Case'!C:C,A4)</f>
        <v>11</v>
      </c>
      <c r="C4" s="16" t="s">
        <v>1037</v>
      </c>
      <c r="D4" s="15">
        <f>COUNTIFS('Toàn bộ Test Case'!C:C,A4,'Toàn bộ Test Case'!M:M,"Pass")</f>
        <v>7</v>
      </c>
      <c r="E4" s="15">
        <f>COUNTIFS('Toàn bộ Test Case'!C:C,A4,'Toàn bộ Test Case'!M:M,"Fail")</f>
        <v>1</v>
      </c>
      <c r="F4" s="15">
        <f>COUNTIFS('Toàn bộ Test Case'!C:C,A4,'Toàn bộ Test Case'!M:M,"Chưa thực hiện")</f>
        <v>3</v>
      </c>
      <c r="G4" s="15">
        <f t="shared" ref="G4:G28" si="0">D4+E4</f>
        <v>8</v>
      </c>
      <c r="H4" s="16" t="s">
        <v>1038</v>
      </c>
    </row>
    <row r="5" spans="1:8" ht="30" x14ac:dyDescent="0.2">
      <c r="A5" s="15" t="s">
        <v>179</v>
      </c>
      <c r="B5" s="15">
        <f>COUNTIF('Toàn bộ Test Case'!C:C,A5)</f>
        <v>8</v>
      </c>
      <c r="C5" s="16" t="s">
        <v>1039</v>
      </c>
      <c r="D5" s="15">
        <f>COUNTIFS('Toàn bộ Test Case'!C:C,A5,'Toàn bộ Test Case'!M:M,"Pass")</f>
        <v>8</v>
      </c>
      <c r="E5" s="15">
        <f>COUNTIFS('Toàn bộ Test Case'!C:C,A5,'Toàn bộ Test Case'!M:M,"Fail")</f>
        <v>0</v>
      </c>
      <c r="F5" s="15">
        <f>COUNTIFS('Toàn bộ Test Case'!C:C,A5,'Toàn bộ Test Case'!M:M,"Chưa thực hiện")</f>
        <v>0</v>
      </c>
      <c r="G5" s="15">
        <f t="shared" si="0"/>
        <v>8</v>
      </c>
      <c r="H5" s="16"/>
    </row>
    <row r="6" spans="1:8" x14ac:dyDescent="0.2">
      <c r="A6" s="15" t="s">
        <v>229</v>
      </c>
      <c r="B6" s="15">
        <f>COUNTIF('Toàn bộ Test Case'!C:C,A6)</f>
        <v>3</v>
      </c>
      <c r="C6" s="16" t="s">
        <v>1040</v>
      </c>
      <c r="D6" s="15">
        <f>COUNTIFS('Toàn bộ Test Case'!C:C,A6,'Toàn bộ Test Case'!M:M,"Pass")</f>
        <v>2</v>
      </c>
      <c r="E6" s="15">
        <f>COUNTIFS('Toàn bộ Test Case'!C:C,A6,'Toàn bộ Test Case'!M:M,"Fail")</f>
        <v>0</v>
      </c>
      <c r="F6" s="15">
        <f>COUNTIFS('Toàn bộ Test Case'!C:C,A6,'Toàn bộ Test Case'!M:M,"Chưa thực hiện")</f>
        <v>1</v>
      </c>
      <c r="G6" s="15">
        <f t="shared" si="0"/>
        <v>2</v>
      </c>
      <c r="H6" s="16"/>
    </row>
    <row r="7" spans="1:8" x14ac:dyDescent="0.2">
      <c r="A7" s="15" t="s">
        <v>250</v>
      </c>
      <c r="B7" s="15">
        <f>COUNTIF('Toàn bộ Test Case'!C:C,A7)</f>
        <v>3</v>
      </c>
      <c r="C7" s="16" t="s">
        <v>1041</v>
      </c>
      <c r="D7" s="15">
        <f>COUNTIFS('Toàn bộ Test Case'!C:C,A7,'Toàn bộ Test Case'!M:M,"Pass")</f>
        <v>2</v>
      </c>
      <c r="E7" s="15">
        <f>COUNTIFS('Toàn bộ Test Case'!C:C,A7,'Toàn bộ Test Case'!M:M,"Fail")</f>
        <v>0</v>
      </c>
      <c r="F7" s="15">
        <f>COUNTIFS('Toàn bộ Test Case'!C:C,A7,'Toàn bộ Test Case'!M:M,"Chưa thực hiện")</f>
        <v>1</v>
      </c>
      <c r="G7" s="15">
        <f t="shared" si="0"/>
        <v>2</v>
      </c>
      <c r="H7" s="16"/>
    </row>
    <row r="8" spans="1:8" ht="30" x14ac:dyDescent="0.2">
      <c r="A8" s="15" t="s">
        <v>273</v>
      </c>
      <c r="B8" s="15">
        <f>COUNTIF('Toàn bộ Test Case'!C:C,A8)</f>
        <v>7</v>
      </c>
      <c r="C8" s="16" t="s">
        <v>1042</v>
      </c>
      <c r="D8" s="15">
        <f>COUNTIFS('Toàn bộ Test Case'!C:C,A8,'Toàn bộ Test Case'!M:M,"Pass")</f>
        <v>5</v>
      </c>
      <c r="E8" s="15">
        <f>COUNTIFS('Toàn bộ Test Case'!C:C,A8,'Toàn bộ Test Case'!M:M,"Fail")</f>
        <v>0</v>
      </c>
      <c r="F8" s="15">
        <f>COUNTIFS('Toàn bộ Test Case'!C:C,A8,'Toàn bộ Test Case'!M:M,"Chưa thực hiện")</f>
        <v>2</v>
      </c>
      <c r="G8" s="15">
        <f t="shared" si="0"/>
        <v>5</v>
      </c>
      <c r="H8" s="16"/>
    </row>
    <row r="9" spans="1:8" ht="30" x14ac:dyDescent="0.2">
      <c r="A9" s="25" t="s">
        <v>426</v>
      </c>
      <c r="B9" s="15">
        <f>COUNTIF('Toàn bộ Test Case'!C:C,A9)</f>
        <v>5</v>
      </c>
      <c r="C9" s="16" t="s">
        <v>1043</v>
      </c>
      <c r="D9" s="15">
        <f>COUNTIFS('Toàn bộ Test Case'!C:C,A9,'Toàn bộ Test Case'!M:M,"Pass")</f>
        <v>0</v>
      </c>
      <c r="E9" s="15">
        <f>COUNTIFS('Toàn bộ Test Case'!C:C,A9,'Toàn bộ Test Case'!M:M,"Fail")</f>
        <v>0</v>
      </c>
      <c r="F9" s="15">
        <f>COUNTIFS('Toàn bộ Test Case'!C:C,A9,'Toàn bộ Test Case'!M:M,"Chưa thực hiện")</f>
        <v>5</v>
      </c>
      <c r="G9" s="15">
        <f t="shared" si="0"/>
        <v>0</v>
      </c>
      <c r="H9" s="16" t="s">
        <v>1044</v>
      </c>
    </row>
    <row r="10" spans="1:8" ht="30" x14ac:dyDescent="0.2">
      <c r="A10" s="15" t="s">
        <v>458</v>
      </c>
      <c r="B10" s="15">
        <f>COUNTIF('Toàn bộ Test Case'!C:C,A10)</f>
        <v>12</v>
      </c>
      <c r="C10" s="16" t="s">
        <v>1045</v>
      </c>
      <c r="D10" s="15">
        <f>COUNTIFS('Toàn bộ Test Case'!C:C,A10,'Toàn bộ Test Case'!M:M,"Pass")</f>
        <v>11</v>
      </c>
      <c r="E10" s="15">
        <f>COUNTIFS('Toàn bộ Test Case'!C:C,A10,'Toàn bộ Test Case'!M:M,"Fail")</f>
        <v>0</v>
      </c>
      <c r="F10" s="15">
        <f>COUNTIFS('Toàn bộ Test Case'!C:C,A10,'Toàn bộ Test Case'!M:M,"Chưa thực hiện")</f>
        <v>1</v>
      </c>
      <c r="G10" s="15">
        <f t="shared" si="0"/>
        <v>11</v>
      </c>
      <c r="H10" s="16"/>
    </row>
    <row r="11" spans="1:8" x14ac:dyDescent="0.2">
      <c r="A11" s="15" t="s">
        <v>530</v>
      </c>
      <c r="B11" s="15">
        <f>COUNTIF('Toàn bộ Test Case'!C:C,A11)</f>
        <v>5</v>
      </c>
      <c r="C11" s="16" t="s">
        <v>1046</v>
      </c>
      <c r="D11" s="15">
        <f>COUNTIFS('Toàn bộ Test Case'!C:C,A11,'Toàn bộ Test Case'!M:M,"Pass")</f>
        <v>4</v>
      </c>
      <c r="E11" s="15">
        <f>COUNTIFS('Toàn bộ Test Case'!C:C,A11,'Toàn bộ Test Case'!M:M,"Fail")</f>
        <v>0</v>
      </c>
      <c r="F11" s="15">
        <f>COUNTIFS('Toàn bộ Test Case'!C:C,A11,'Toàn bộ Test Case'!M:M,"Chưa thực hiện")</f>
        <v>1</v>
      </c>
      <c r="G11" s="15">
        <f t="shared" si="0"/>
        <v>4</v>
      </c>
      <c r="H11" s="16"/>
    </row>
    <row r="12" spans="1:8" ht="30" x14ac:dyDescent="0.2">
      <c r="A12" s="15" t="s">
        <v>660</v>
      </c>
      <c r="B12" s="15">
        <f>COUNTIF('Toàn bộ Test Case'!C:C,A12)</f>
        <v>8</v>
      </c>
      <c r="C12" s="16" t="s">
        <v>1047</v>
      </c>
      <c r="D12" s="15">
        <f>COUNTIFS('Toàn bộ Test Case'!C:C,A12,'Toàn bộ Test Case'!M:M,"Pass")</f>
        <v>8</v>
      </c>
      <c r="E12" s="15">
        <f>COUNTIFS('Toàn bộ Test Case'!C:C,A12,'Toàn bộ Test Case'!M:M,"Fail")</f>
        <v>0</v>
      </c>
      <c r="F12" s="15">
        <f>COUNTIFS('Toàn bộ Test Case'!C:C,A12,'Toàn bộ Test Case'!M:M,"Chưa thực hiện")</f>
        <v>0</v>
      </c>
      <c r="G12" s="15">
        <f t="shared" si="0"/>
        <v>8</v>
      </c>
      <c r="H12" s="16"/>
    </row>
    <row r="13" spans="1:8" ht="30" x14ac:dyDescent="0.2">
      <c r="A13" s="15" t="s">
        <v>581</v>
      </c>
      <c r="B13" s="15">
        <f>COUNTIF('Toàn bộ Test Case'!C:C,A13)</f>
        <v>10</v>
      </c>
      <c r="C13" s="16" t="s">
        <v>1048</v>
      </c>
      <c r="D13" s="15">
        <f>COUNTIFS('Toàn bộ Test Case'!C:C,A13,'Toàn bộ Test Case'!M:M,"Pass")</f>
        <v>10</v>
      </c>
      <c r="E13" s="15">
        <f>COUNTIFS('Toàn bộ Test Case'!C:C,A13,'Toàn bộ Test Case'!M:M,"Fail")</f>
        <v>0</v>
      </c>
      <c r="F13" s="15">
        <f>COUNTIFS('Toàn bộ Test Case'!C:C,A13,'Toàn bộ Test Case'!M:M,"Chưa thực hiện")</f>
        <v>0</v>
      </c>
      <c r="G13" s="15">
        <f t="shared" si="0"/>
        <v>10</v>
      </c>
      <c r="H13" s="16"/>
    </row>
    <row r="14" spans="1:8" x14ac:dyDescent="0.2">
      <c r="A14" s="15" t="s">
        <v>567</v>
      </c>
      <c r="B14" s="15">
        <f>COUNTIF('Toàn bộ Test Case'!C:C,A14)</f>
        <v>2</v>
      </c>
      <c r="C14" s="16" t="s">
        <v>1049</v>
      </c>
      <c r="D14" s="15">
        <f>COUNTIFS('Toàn bộ Test Case'!C:C,A14,'Toàn bộ Test Case'!M:M,"Pass")</f>
        <v>1</v>
      </c>
      <c r="E14" s="15">
        <f>COUNTIFS('Toàn bộ Test Case'!C:C,A14,'Toàn bộ Test Case'!M:M,"Fail")</f>
        <v>1</v>
      </c>
      <c r="F14" s="15">
        <f>COUNTIFS('Toàn bộ Test Case'!C:C,A14,'Toàn bộ Test Case'!M:M,"Chưa thực hiện")</f>
        <v>0</v>
      </c>
      <c r="G14" s="15">
        <f t="shared" si="0"/>
        <v>2</v>
      </c>
      <c r="H14" s="16" t="s">
        <v>1050</v>
      </c>
    </row>
    <row r="15" spans="1:8" ht="30" x14ac:dyDescent="0.2">
      <c r="A15" s="15" t="s">
        <v>322</v>
      </c>
      <c r="B15" s="15">
        <f>COUNTIF('Toàn bộ Test Case'!C:C,A15)</f>
        <v>9</v>
      </c>
      <c r="C15" s="16" t="s">
        <v>1051</v>
      </c>
      <c r="D15" s="15">
        <f>COUNTIFS('Toàn bộ Test Case'!C:C,A15,'Toàn bộ Test Case'!M:M,"Pass")</f>
        <v>8</v>
      </c>
      <c r="E15" s="15">
        <f>COUNTIFS('Toàn bộ Test Case'!C:C,A15,'Toàn bộ Test Case'!M:M,"Fail")</f>
        <v>1</v>
      </c>
      <c r="F15" s="15">
        <f>COUNTIFS('Toàn bộ Test Case'!C:C,A15,'Toàn bộ Test Case'!M:M,"Chưa thực hiện")</f>
        <v>0</v>
      </c>
      <c r="G15" s="15">
        <f t="shared" si="0"/>
        <v>9</v>
      </c>
      <c r="H15" s="16" t="s">
        <v>1052</v>
      </c>
    </row>
    <row r="16" spans="1:8" x14ac:dyDescent="0.2">
      <c r="A16" s="15" t="s">
        <v>383</v>
      </c>
      <c r="B16" s="15">
        <f>COUNTIF('Toàn bộ Test Case'!C:C,A16)</f>
        <v>4</v>
      </c>
      <c r="C16" s="16" t="s">
        <v>1053</v>
      </c>
      <c r="D16" s="15">
        <f>COUNTIFS('Toàn bộ Test Case'!C:C,A16,'Toàn bộ Test Case'!M:M,"Pass")</f>
        <v>3</v>
      </c>
      <c r="E16" s="15">
        <f>COUNTIFS('Toàn bộ Test Case'!C:C,A16,'Toàn bộ Test Case'!M:M,"Fail")</f>
        <v>0</v>
      </c>
      <c r="F16" s="15">
        <f>COUNTIFS('Toàn bộ Test Case'!C:C,A16,'Toàn bộ Test Case'!M:M,"Chưa thực hiện")</f>
        <v>1</v>
      </c>
      <c r="G16" s="15">
        <f t="shared" si="0"/>
        <v>3</v>
      </c>
      <c r="H16" s="16"/>
    </row>
    <row r="17" spans="1:8" x14ac:dyDescent="0.2">
      <c r="A17" s="15" t="s">
        <v>412</v>
      </c>
      <c r="B17" s="15">
        <f>COUNTIF('Toàn bộ Test Case'!C:C,A17)</f>
        <v>2</v>
      </c>
      <c r="C17" s="16" t="s">
        <v>1054</v>
      </c>
      <c r="D17" s="15">
        <f>COUNTIFS('Toàn bộ Test Case'!C:C,A17,'Toàn bộ Test Case'!M:M,"Pass")</f>
        <v>2</v>
      </c>
      <c r="E17" s="15">
        <f>COUNTIFS('Toàn bộ Test Case'!C:C,A17,'Toàn bộ Test Case'!M:M,"Fail")</f>
        <v>0</v>
      </c>
      <c r="F17" s="15">
        <f>COUNTIFS('Toàn bộ Test Case'!C:C,A17,'Toàn bộ Test Case'!M:M,"Chưa thực hiện")</f>
        <v>0</v>
      </c>
      <c r="G17" s="15">
        <f t="shared" si="0"/>
        <v>2</v>
      </c>
      <c r="H17" s="16"/>
    </row>
    <row r="18" spans="1:8" x14ac:dyDescent="0.2">
      <c r="A18" s="15" t="s">
        <v>860</v>
      </c>
      <c r="B18" s="15">
        <f>COUNTIF('Toàn bộ Test Case'!C:C,A18)</f>
        <v>7</v>
      </c>
      <c r="C18" s="16" t="s">
        <v>1055</v>
      </c>
      <c r="D18" s="15">
        <f>COUNTIFS('Toàn bộ Test Case'!C:C,A18,'Toàn bộ Test Case'!M:M,"Pass")</f>
        <v>7</v>
      </c>
      <c r="E18" s="15">
        <f>COUNTIFS('Toàn bộ Test Case'!C:C,A18,'Toàn bộ Test Case'!M:M,"Fail")</f>
        <v>0</v>
      </c>
      <c r="F18" s="15">
        <f>COUNTIFS('Toàn bộ Test Case'!C:C,A18,'Toàn bộ Test Case'!M:M,"Chưa thực hiện")</f>
        <v>0</v>
      </c>
      <c r="G18" s="15">
        <f t="shared" si="0"/>
        <v>7</v>
      </c>
      <c r="H18" s="16"/>
    </row>
    <row r="19" spans="1:8" x14ac:dyDescent="0.2">
      <c r="A19" s="15" t="s">
        <v>907</v>
      </c>
      <c r="B19" s="15">
        <f>COUNTIF('Toàn bộ Test Case'!C:C,A19)</f>
        <v>3</v>
      </c>
      <c r="C19" s="16" t="s">
        <v>1056</v>
      </c>
      <c r="D19" s="15">
        <f>COUNTIFS('Toàn bộ Test Case'!C:C,A19,'Toàn bộ Test Case'!M:M,"Pass")</f>
        <v>2</v>
      </c>
      <c r="E19" s="15">
        <f>COUNTIFS('Toàn bộ Test Case'!C:C,A19,'Toàn bộ Test Case'!M:M,"Fail")</f>
        <v>0</v>
      </c>
      <c r="F19" s="15">
        <f>COUNTIFS('Toàn bộ Test Case'!C:C,A19,'Toàn bộ Test Case'!M:M,"Chưa thực hiện")</f>
        <v>1</v>
      </c>
      <c r="G19" s="15">
        <f t="shared" si="0"/>
        <v>2</v>
      </c>
      <c r="H19" s="16"/>
    </row>
    <row r="20" spans="1:8" x14ac:dyDescent="0.2">
      <c r="A20" s="15" t="s">
        <v>929</v>
      </c>
      <c r="B20" s="15">
        <f>COUNTIF('Toàn bộ Test Case'!C:C,A20)</f>
        <v>2</v>
      </c>
      <c r="C20" s="16" t="s">
        <v>1057</v>
      </c>
      <c r="D20" s="15">
        <f>COUNTIFS('Toàn bộ Test Case'!C:C,A20,'Toàn bộ Test Case'!M:M,"Pass")</f>
        <v>2</v>
      </c>
      <c r="E20" s="15">
        <f>COUNTIFS('Toàn bộ Test Case'!C:C,A20,'Toàn bộ Test Case'!M:M,"Fail")</f>
        <v>0</v>
      </c>
      <c r="F20" s="15">
        <f>COUNTIFS('Toàn bộ Test Case'!C:C,A20,'Toàn bộ Test Case'!M:M,"Chưa thực hiện")</f>
        <v>0</v>
      </c>
      <c r="G20" s="15">
        <f t="shared" si="0"/>
        <v>2</v>
      </c>
      <c r="H20" s="16"/>
    </row>
    <row r="21" spans="1:8" x14ac:dyDescent="0.2">
      <c r="A21" s="15" t="s">
        <v>962</v>
      </c>
      <c r="B21" s="15">
        <f>COUNTIF('Toàn bộ Test Case'!C:C,A21)</f>
        <v>2</v>
      </c>
      <c r="C21" s="16" t="s">
        <v>1058</v>
      </c>
      <c r="D21" s="15">
        <f>COUNTIFS('Toàn bộ Test Case'!C:C,A21,'Toàn bộ Test Case'!M:M,"Pass")</f>
        <v>2</v>
      </c>
      <c r="E21" s="15">
        <f>COUNTIFS('Toàn bộ Test Case'!C:C,A21,'Toàn bộ Test Case'!M:M,"Fail")</f>
        <v>0</v>
      </c>
      <c r="F21" s="15">
        <f>COUNTIFS('Toàn bộ Test Case'!C:C,A21,'Toàn bộ Test Case'!M:M,"Chưa thực hiện")</f>
        <v>0</v>
      </c>
      <c r="G21" s="15">
        <f t="shared" si="0"/>
        <v>2</v>
      </c>
      <c r="H21" s="16"/>
    </row>
    <row r="22" spans="1:8" x14ac:dyDescent="0.2">
      <c r="A22" s="15" t="s">
        <v>942</v>
      </c>
      <c r="B22" s="15">
        <f>COUNTIF('Toàn bộ Test Case'!C:C,A22)</f>
        <v>3</v>
      </c>
      <c r="C22" s="16" t="s">
        <v>1059</v>
      </c>
      <c r="D22" s="15">
        <f>COUNTIFS('Toàn bộ Test Case'!C:C,A22,'Toàn bộ Test Case'!M:M,"Pass")</f>
        <v>3</v>
      </c>
      <c r="E22" s="15">
        <f>COUNTIFS('Toàn bộ Test Case'!C:C,A22,'Toàn bộ Test Case'!M:M,"Fail")</f>
        <v>0</v>
      </c>
      <c r="F22" s="15">
        <f>COUNTIFS('Toàn bộ Test Case'!C:C,A22,'Toàn bộ Test Case'!M:M,"Chưa thực hiện")</f>
        <v>0</v>
      </c>
      <c r="G22" s="15">
        <f t="shared" si="0"/>
        <v>3</v>
      </c>
      <c r="H22" s="16"/>
    </row>
    <row r="23" spans="1:8" ht="30" x14ac:dyDescent="0.2">
      <c r="A23" s="15" t="s">
        <v>787</v>
      </c>
      <c r="B23" s="15">
        <f>COUNTIF('Toàn bộ Test Case'!C:C,A23)</f>
        <v>10</v>
      </c>
      <c r="C23" s="16" t="s">
        <v>1060</v>
      </c>
      <c r="D23" s="15">
        <f>COUNTIFS('Toàn bộ Test Case'!C:C,A23,'Toàn bộ Test Case'!M:M,"Pass")</f>
        <v>8</v>
      </c>
      <c r="E23" s="15">
        <f>COUNTIFS('Toàn bộ Test Case'!C:C,A23,'Toàn bộ Test Case'!M:M,"Fail")</f>
        <v>1</v>
      </c>
      <c r="F23" s="15">
        <f>COUNTIFS('Toàn bộ Test Case'!C:C,A23,'Toàn bộ Test Case'!M:M,"Chưa thực hiện")</f>
        <v>1</v>
      </c>
      <c r="G23" s="15">
        <f t="shared" si="0"/>
        <v>9</v>
      </c>
      <c r="H23" s="16" t="s">
        <v>1061</v>
      </c>
    </row>
    <row r="24" spans="1:8" ht="30" x14ac:dyDescent="0.2">
      <c r="A24" s="15" t="s">
        <v>714</v>
      </c>
      <c r="B24" s="15">
        <f>COUNTIF('Toàn bộ Test Case'!C:C,A24)</f>
        <v>9</v>
      </c>
      <c r="C24" s="16" t="s">
        <v>1062</v>
      </c>
      <c r="D24" s="15">
        <f>COUNTIFS('Toàn bộ Test Case'!C:C,A24,'Toàn bộ Test Case'!M:M,"Pass")</f>
        <v>4</v>
      </c>
      <c r="E24" s="15">
        <f>COUNTIFS('Toàn bộ Test Case'!C:C,A24,'Toàn bộ Test Case'!M:M,"Fail")</f>
        <v>1</v>
      </c>
      <c r="F24" s="15">
        <f>COUNTIFS('Toàn bộ Test Case'!C:C,A24,'Toàn bộ Test Case'!M:M,"Chưa thực hiện")</f>
        <v>4</v>
      </c>
      <c r="G24" s="15">
        <f t="shared" si="0"/>
        <v>5</v>
      </c>
      <c r="H24" s="16" t="s">
        <v>1063</v>
      </c>
    </row>
    <row r="25" spans="1:8" x14ac:dyDescent="0.2">
      <c r="A25" s="15" t="s">
        <v>772</v>
      </c>
      <c r="B25" s="15">
        <f>COUNTIF('Toàn bộ Test Case'!C:C,A25)</f>
        <v>2</v>
      </c>
      <c r="C25" s="16" t="s">
        <v>1064</v>
      </c>
      <c r="D25" s="15">
        <f>COUNTIFS('Toàn bộ Test Case'!C:C,A25,'Toàn bộ Test Case'!M:M,"Pass")</f>
        <v>1</v>
      </c>
      <c r="E25" s="15">
        <f>COUNTIFS('Toàn bộ Test Case'!C:C,A25,'Toàn bộ Test Case'!M:M,"Fail")</f>
        <v>0</v>
      </c>
      <c r="F25" s="15">
        <f>COUNTIFS('Toàn bộ Test Case'!C:C,A25,'Toàn bộ Test Case'!M:M,"Chưa thực hiện")</f>
        <v>1</v>
      </c>
      <c r="G25" s="15">
        <f t="shared" si="0"/>
        <v>1</v>
      </c>
      <c r="H25" s="16"/>
    </row>
    <row r="26" spans="1:8" x14ac:dyDescent="0.2">
      <c r="A26" s="15" t="s">
        <v>978</v>
      </c>
      <c r="B26" s="15">
        <f>COUNTIF('Toàn bộ Test Case'!C:C,A26)</f>
        <v>5</v>
      </c>
      <c r="C26" s="16" t="s">
        <v>1065</v>
      </c>
      <c r="D26" s="15">
        <f>COUNTIFS('Toàn bộ Test Case'!C:C,A26,'Toàn bộ Test Case'!M:M,"Pass")</f>
        <v>4</v>
      </c>
      <c r="E26" s="15">
        <f>COUNTIFS('Toàn bộ Test Case'!C:C,A26,'Toàn bộ Test Case'!M:M,"Fail")</f>
        <v>1</v>
      </c>
      <c r="F26" s="15">
        <f>COUNTIFS('Toàn bộ Test Case'!C:C,A26,'Toàn bộ Test Case'!M:M,"Chưa thực hiện")</f>
        <v>0</v>
      </c>
      <c r="G26" s="15">
        <f t="shared" si="0"/>
        <v>5</v>
      </c>
      <c r="H26" s="16" t="s">
        <v>1066</v>
      </c>
    </row>
    <row r="27" spans="1:8" x14ac:dyDescent="0.2">
      <c r="A27" s="15" t="s">
        <v>1012</v>
      </c>
      <c r="B27" s="15">
        <f>COUNTIF('Toàn bộ Test Case'!C:C,A27)</f>
        <v>1</v>
      </c>
      <c r="C27" s="16" t="s">
        <v>1011</v>
      </c>
      <c r="D27" s="15">
        <f>COUNTIFS('Toàn bộ Test Case'!C:C,A27,'Toàn bộ Test Case'!M:M,"Pass")</f>
        <v>1</v>
      </c>
      <c r="E27" s="15">
        <f>COUNTIFS('Toàn bộ Test Case'!C:C,A27,'Toàn bộ Test Case'!M:M,"Fail")</f>
        <v>0</v>
      </c>
      <c r="F27" s="15">
        <f>COUNTIFS('Toàn bộ Test Case'!C:C,A27,'Toàn bộ Test Case'!M:M,"Chưa thực hiện")</f>
        <v>0</v>
      </c>
      <c r="G27" s="15">
        <f t="shared" si="0"/>
        <v>1</v>
      </c>
      <c r="H27" s="16"/>
    </row>
    <row r="28" spans="1:8" x14ac:dyDescent="0.2">
      <c r="A28" s="15" t="s">
        <v>1020</v>
      </c>
      <c r="B28" s="15">
        <f>COUNTIF('Toàn bộ Test Case'!C:C,A28)</f>
        <v>2</v>
      </c>
      <c r="C28" s="16" t="s">
        <v>1067</v>
      </c>
      <c r="D28" s="15">
        <f>COUNTIFS('Toàn bộ Test Case'!C:C,A28,'Toàn bộ Test Case'!M:M,"Pass")</f>
        <v>2</v>
      </c>
      <c r="E28" s="15">
        <f>COUNTIFS('Toàn bộ Test Case'!C:C,A28,'Toàn bộ Test Case'!M:M,"Fail")</f>
        <v>0</v>
      </c>
      <c r="F28" s="15">
        <f>COUNTIFS('Toàn bộ Test Case'!C:C,A28,'Toàn bộ Test Case'!M:M,"Chưa thực hiện")</f>
        <v>0</v>
      </c>
      <c r="G28" s="15">
        <f t="shared" si="0"/>
        <v>2</v>
      </c>
      <c r="H28" s="16"/>
    </row>
    <row r="29" spans="1:8" x14ac:dyDescent="0.2">
      <c r="A29" s="18" t="s">
        <v>1068</v>
      </c>
      <c r="B29" s="18">
        <f>SUM(B4:B28)</f>
        <v>135</v>
      </c>
      <c r="C29" s="29"/>
      <c r="D29" s="18">
        <f>SUM(D4:D28)</f>
        <v>107</v>
      </c>
      <c r="E29" s="18">
        <f>SUM(E4:E28)</f>
        <v>6</v>
      </c>
      <c r="F29" s="18">
        <f>SUM(F4:F28)</f>
        <v>22</v>
      </c>
      <c r="G29" s="18">
        <f>SUM(G4:G28)</f>
        <v>113</v>
      </c>
      <c r="H29" s="29"/>
    </row>
  </sheetData>
  <mergeCells count="1">
    <mergeCell ref="A1:H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Tổng hợp</vt:lpstr>
      <vt:lpstr>Toàn bộ Test Case</vt:lpstr>
      <vt:lpstr>AUTH</vt:lpstr>
      <vt:lpstr>PROD</vt:lpstr>
      <vt:lpstr>ORD</vt:lpstr>
      <vt:lpstr>VOUC</vt:lpstr>
      <vt:lpstr>REV</vt:lpstr>
      <vt:lpstr>CHAT</vt:lpstr>
      <vt:lpstr>AI</vt:lpstr>
      <vt:lpstr>HR</vt:lpstr>
      <vt:lpstr>ADM</vt:lpstr>
      <vt:lpstr>Truy vết UC và 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Tran Dinh Danh</cp:lastModifiedBy>
  <cp:revision>0</cp:revision>
  <dcterms:created xsi:type="dcterms:W3CDTF">2026-09-26T08:43:02Z</dcterms:created>
  <dcterms:modified xsi:type="dcterms:W3CDTF">2026-10-27T13:48:58Z</dcterms:modified>
  <dc:language>en-US</dc:language>
</cp:coreProperties>
</file>