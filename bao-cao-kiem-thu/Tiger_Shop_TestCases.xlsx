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hợp" sheetId="1" state="visible" r:id="rId3"/>
    <sheet name="Toàn bộ Test Case" sheetId="2" state="visible" r:id="rId4"/>
    <sheet name="AUTH" sheetId="3" state="visible" r:id="rId5"/>
    <sheet name="PROD" sheetId="4" state="visible" r:id="rId6"/>
    <sheet name="ORD" sheetId="5" state="visible" r:id="rId7"/>
    <sheet name="VOUC" sheetId="6" state="visible" r:id="rId8"/>
    <sheet name="REV" sheetId="7" state="visible" r:id="rId9"/>
    <sheet name="CHAT" sheetId="8" state="visible" r:id="rId10"/>
    <sheet name="AI" sheetId="9" state="visible" r:id="rId11"/>
    <sheet name="HR" sheetId="10" state="visible" r:id="rId12"/>
    <sheet name="ADM" sheetId="11" state="visible" r:id="rId13"/>
    <sheet name="Truy vết UC và TC" sheetId="12" state="visible" r:id="rId14"/>
  </sheets>
  <definedNames>
    <definedName function="false" hidden="true" localSheetId="10" name="_xlnm._FilterDatabase" vbProcedure="false">ADM!$A$1:$P$11</definedName>
    <definedName function="false" hidden="true" localSheetId="8" name="_xlnm._FilterDatabase" vbProcedure="false">AI!$A$1:$P$11</definedName>
    <definedName function="false" hidden="true" localSheetId="2" name="_xlnm._FilterDatabase" vbProcedure="false">AUTH!$A$1:$P$26</definedName>
    <definedName function="false" hidden="true" localSheetId="7" name="_xlnm._FilterDatabase" vbProcedure="false">CHAT!$A$1:$P$12</definedName>
    <definedName function="false" hidden="true" localSheetId="9" name="_xlnm._FilterDatabase" vbProcedure="false">HR!$A$1:$P$16</definedName>
    <definedName function="false" hidden="true" localSheetId="4" name="_xlnm._FilterDatabase" vbProcedure="false">ORD!$A$1:$P$23</definedName>
    <definedName function="false" hidden="true" localSheetId="3" name="_xlnm._FilterDatabase" vbProcedure="false">PROD!$A$1:$P$23</definedName>
    <definedName function="false" hidden="true" localSheetId="6" name="_xlnm._FilterDatabase" vbProcedure="false">REV!$A$1:$P$9</definedName>
    <definedName function="false" hidden="true" localSheetId="1" name="_xlnm._FilterDatabase" vbProcedure="false">'Toàn bộ Test Case'!$A$1:$P$136</definedName>
    <definedName function="false" hidden="true" localSheetId="5" name="_xlnm._FilterDatabase" vbProcedure="false">VOUC!$A$1:$P$13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<sst xmlns="http://schemas.openxmlformats.org/spreadsheetml/2006/main" count="4459" uniqueCount="1069">
  <si>
    <t xml:space="preserve">TỔNG HỢP KẾT QUẢ KIỂM THỬ HỆ THỐNG TIGER SHOP</t>
  </si>
  <si>
    <t xml:space="preserve">Học phần: Đánh giá và Kiểm định chất lượng phần mềm</t>
  </si>
  <si>
    <t xml:space="preserve">Bộ kịch bản tự động chạy ngày 25/09/2026 trên cơ sở dữ liệu ecommerce_test. Trạng thái ghi theo bốn trạng thái của Bảng 2.25; tỉ lệ đạt tính trên số test case đã thực hiện. Mọi số liệu dưới đây là công thức đếm từ cột Trạng thái của các sheet test case.</t>
  </si>
  <si>
    <t xml:space="preserve">1. KẾT QUẢ THEO NHÓM CHỨC NĂNG (Bảng 3.34)</t>
  </si>
  <si>
    <t xml:space="preserve">STT</t>
  </si>
  <si>
    <t xml:space="preserve">Mã nhóm</t>
  </si>
  <si>
    <t xml:space="preserve">Nhóm chức năng</t>
  </si>
  <si>
    <t xml:space="preserve">Số TC</t>
  </si>
  <si>
    <t xml:space="preserve">Đã thực hiện</t>
  </si>
  <si>
    <t xml:space="preserve">Pass</t>
  </si>
  <si>
    <t xml:space="preserve">Fail</t>
  </si>
  <si>
    <t xml:space="preserve">Blocked</t>
  </si>
  <si>
    <t xml:space="preserve">Chưa thực hiện</t>
  </si>
  <si>
    <t xml:space="preserve">Tỉ lệ đạt trên số đã thực hiện</t>
  </si>
  <si>
    <t xml:space="preserve">AUTH</t>
  </si>
  <si>
    <t xml:space="preserve">Xác thực và phân quyền</t>
  </si>
  <si>
    <t xml:space="preserve">PROD</t>
  </si>
  <si>
    <t xml:space="preserve">Quản lý sản phẩm và tồn kho</t>
  </si>
  <si>
    <t xml:space="preserve">ORD</t>
  </si>
  <si>
    <t xml:space="preserve">Giỏ hàng và đơn hàng</t>
  </si>
  <si>
    <t xml:space="preserve">VOUC</t>
  </si>
  <si>
    <t xml:space="preserve">Voucher và ví voucher</t>
  </si>
  <si>
    <t xml:space="preserve">REV</t>
  </si>
  <si>
    <t xml:space="preserve">Đánh giá sản phẩm</t>
  </si>
  <si>
    <t xml:space="preserve">CHAT</t>
  </si>
  <si>
    <t xml:space="preserve">Chat hỗ trợ thời gian thực</t>
  </si>
  <si>
    <t xml:space="preserve">AI</t>
  </si>
  <si>
    <t xml:space="preserve">Trợ lý ảo Tiger AI</t>
  </si>
  <si>
    <t xml:space="preserve">HR</t>
  </si>
  <si>
    <t xml:space="preserve">Ca làm, chấm công và lương</t>
  </si>
  <si>
    <t xml:space="preserve">ADM</t>
  </si>
  <si>
    <t xml:space="preserve">Quản trị hệ thống</t>
  </si>
  <si>
    <t xml:space="preserve">TỔNG CỘNG</t>
  </si>
  <si>
    <t xml:space="preserve">Kiểm tra: Số TC bằng tổng bốn trạng thái</t>
  </si>
  <si>
    <t xml:space="preserve">2. ĐỐI CHIẾU VỚI TIÊU CHÍ KẾT THÚC KIỂM THỬ (Bảng 2.27)</t>
  </si>
  <si>
    <t xml:space="preserve">Chỉ số</t>
  </si>
  <si>
    <t xml:space="preserve">Giá trị</t>
  </si>
  <si>
    <t xml:space="preserve">Ngưỡng</t>
  </si>
  <si>
    <t xml:space="preserve">Kết luận</t>
  </si>
  <si>
    <t xml:space="preserve">Tỉ lệ test case đã thực thi</t>
  </si>
  <si>
    <t xml:space="preserve">Tỉ lệ đạt trên số test case đã thực thi</t>
  </si>
  <si>
    <t xml:space="preserve">Tỉ lệ Use Case có test case</t>
  </si>
  <si>
    <t xml:space="preserve">Ngưỡng lấy theo tiêu chí kết thúc ở Bảng 2.27 của Chương II.</t>
  </si>
  <si>
    <t xml:space="preserve">3. KẾT QUẢ THEO LOẠI KIỂM THỬ VÀ MỨC ƯU TIÊN (Bảng 3.3 và Bảng 3.35)</t>
  </si>
  <si>
    <t xml:space="preserve">Phân loại</t>
  </si>
  <si>
    <t xml:space="preserve">Tỉ lệ trên tổng số TC</t>
  </si>
  <si>
    <t xml:space="preserve">Positive</t>
  </si>
  <si>
    <t xml:space="preserve">Negative</t>
  </si>
  <si>
    <t xml:space="preserve">Boundary</t>
  </si>
  <si>
    <t xml:space="preserve">Security</t>
  </si>
  <si>
    <t xml:space="preserve">Ưu tiên Cao</t>
  </si>
  <si>
    <t xml:space="preserve">Ưu tiên Trung bình</t>
  </si>
  <si>
    <t xml:space="preserve">4. PHƯƠNG PHÁP THỰC HIỆN THEO THIẾT KẾ VÀ THEO THỰC TẾ (Bảng 3.4)</t>
  </si>
  <si>
    <t xml:space="preserve">Phương pháp theo thiết kế</t>
  </si>
  <si>
    <t xml:space="preserve">Kịch bản Jest</t>
  </si>
  <si>
    <t xml:space="preserve">Phép đo riêng</t>
  </si>
  <si>
    <t xml:space="preserve">Thực thi bằng mã</t>
  </si>
  <si>
    <t xml:space="preserve">Thủ công</t>
  </si>
  <si>
    <t xml:space="preserve">Bảy test case thiết kế thủ công đã được chuyển thành kịch bản Jest: ORD-014, REV-008, AI-001, AI-005, AI-007, HR-013, ADM-008; AI-008 thực hiện bằng phép đo riêng (mục 5.4.5).</t>
  </si>
  <si>
    <t xml:space="preserve">5. TEST CASE KHÔNG ĐẠT VÀ KHIẾM KHUYẾT LIÊN QUAN (Bảng 3.36)</t>
  </si>
  <si>
    <t xml:space="preserve">Mã TC</t>
  </si>
  <si>
    <t xml:space="preserve">Use Case và bước bị vi phạm</t>
  </si>
  <si>
    <t xml:space="preserve">Mã khiếm khuyết</t>
  </si>
  <si>
    <t xml:space="preserve">Mức độ</t>
  </si>
  <si>
    <t xml:space="preserve">Vị trí trong mã nguồn</t>
  </si>
  <si>
    <t xml:space="preserve">CHAT-009</t>
  </si>
  <si>
    <t xml:space="preserve">UC21, ngoại lệ 5c</t>
  </si>
  <si>
    <t xml:space="preserve">DEF-08 (trùng VUL-01)</t>
  </si>
  <si>
    <t xml:space="preserve">Nghiêm trọng</t>
  </si>
  <si>
    <t xml:space="preserve">routes/chatRoutes.js, tuyến GET /messages/:threadId</t>
  </si>
  <si>
    <t xml:space="preserve">ADM-005</t>
  </si>
  <si>
    <t xml:space="preserve">UC23, ngoại lệ 3b</t>
  </si>
  <si>
    <t xml:space="preserve">DEF-06 (trùng VUL-02)</t>
  </si>
  <si>
    <t xml:space="preserve">userController.resetUserPassword</t>
  </si>
  <si>
    <t xml:space="preserve">PROD-008</t>
  </si>
  <si>
    <t xml:space="preserve">UC12, bước 5 và hậu điều kiện</t>
  </si>
  <si>
    <t xml:space="preserve">DEF-02</t>
  </si>
  <si>
    <t xml:space="preserve">Cao</t>
  </si>
  <si>
    <t xml:space="preserve">productController.createProduct</t>
  </si>
  <si>
    <t xml:space="preserve">ORD-022</t>
  </si>
  <si>
    <t xml:space="preserve">UC11, ngoại lệ 4a</t>
  </si>
  <si>
    <t xml:space="preserve">DEF-11</t>
  </si>
  <si>
    <t xml:space="preserve">Trung bình</t>
  </si>
  <si>
    <t xml:space="preserve">orderController.updateOrderStatus</t>
  </si>
  <si>
    <t xml:space="preserve">AI-008</t>
  </si>
  <si>
    <t xml:space="preserve">Bảng 1.31, chỉ tiêu 3</t>
  </si>
  <si>
    <t xml:space="preserve">PERF-03</t>
  </si>
  <si>
    <t xml:space="preserve">aiChatController.chatWithAi</t>
  </si>
  <si>
    <t xml:space="preserve">AUTH-006</t>
  </si>
  <si>
    <t xml:space="preserve">UC01, ngoại lệ 6a</t>
  </si>
  <si>
    <t xml:space="preserve">DEF-12 (mới)</t>
  </si>
  <si>
    <t xml:space="preserve">Thấp</t>
  </si>
  <si>
    <t xml:space="preserve">authController.register</t>
  </si>
  <si>
    <t xml:space="preserve">test case không đạt (đếm từ sheet Toàn bộ Test Case)</t>
  </si>
  <si>
    <t xml:space="preserve">UC liên quan</t>
  </si>
  <si>
    <t xml:space="preserve">Tiêu đề kiểm thử</t>
  </si>
  <si>
    <t xml:space="preserve">Điều kiện tiên quyết</t>
  </si>
  <si>
    <t xml:space="preserve">Dữ liệu đầu vào</t>
  </si>
  <si>
    <t xml:space="preserve">Các bước thực hiện</t>
  </si>
  <si>
    <t xml:space="preserve">Kết quả mong đợi</t>
  </si>
  <si>
    <t xml:space="preserve">Loại KT</t>
  </si>
  <si>
    <t xml:space="preserve">Mức ưu tiên</t>
  </si>
  <si>
    <t xml:space="preserve">Phương pháp</t>
  </si>
  <si>
    <t xml:space="preserve">Kết quả thực tế</t>
  </si>
  <si>
    <t xml:space="preserve">Trạng thái</t>
  </si>
  <si>
    <t xml:space="preserve">Người thực hiện</t>
  </si>
  <si>
    <t xml:space="preserve">Ngày thực hiện</t>
  </si>
  <si>
    <t xml:space="preserve">Ghi chú</t>
  </si>
  <si>
    <t xml:space="preserve">AUTH-001</t>
  </si>
  <si>
    <t xml:space="preserve">UC01</t>
  </si>
  <si>
    <t xml:space="preserve">Đăng ký với dữ liệu hợp lệ</t>
  </si>
  <si>
    <t xml:space="preserve">Email chưa tồn tại</t>
  </si>
  <si>
    <t xml:space="preserve">name = Nguoi dung moi; email = new.user.[thời điểm]@tigershop.test; password = Test@123; phone = 0912345678; birthday = 2000-05-20</t>
  </si>
  <si>
    <t xml:space="preserve">1. Gửi POST /api/auth/register
2. Truy vấn bảng users theo email
3. Truy vấn user_vouchers của tài khoản mới</t>
  </si>
  <si>
    <t xml:space="preserve">Mã 200, thông báo Register successful; users có role_id = 5, status = active; ví có một voucher chào mừng giảm 50% (hậu điều kiện UC01)</t>
  </si>
  <si>
    <t xml:space="preserve">Tự động</t>
  </si>
  <si>
    <t xml:space="preserve">Mã 200, Register successful; role_id = 5, status = active; ví có đúng một voucher value = 50. Voucher được ghi sau khi phản hồi đã trả về nên kịch bản phải chờ tối đa 3 giây mới thấy bản ghi (liên quan DEF-01)</t>
  </si>
  <si>
    <t xml:space="preserve">Jest + Supertest</t>
  </si>
  <si>
    <t xml:space="preserve">25/09/2026</t>
  </si>
  <si>
    <t xml:space="preserve">Quan sát được DEF-01: voucher chào mừng ghi sau phản hồi, không cùng giao dịch</t>
  </si>
  <si>
    <t xml:space="preserve">AUTH-002</t>
  </si>
  <si>
    <t xml:space="preserve">Đăng ký khi bỏ trống họ tên</t>
  </si>
  <si>
    <t xml:space="preserve">Máy chủ đang chạy; không cần đăng nhập</t>
  </si>
  <si>
    <t xml:space="preserve">name rỗng; các trường khác hợp lệ</t>
  </si>
  <si>
    <t xml:space="preserve">1. Gửi POST /api/auth/register</t>
  </si>
  <si>
    <t xml:space="preserve">Mã 400, thông báo Thiếu thông tin đăng ký (ngoại lệ 5a)</t>
  </si>
  <si>
    <t xml:space="preserve">Mã 400, Thiếu thông tin đăng ký</t>
  </si>
  <si>
    <t xml:space="preserve">AUTH-003</t>
  </si>
  <si>
    <t xml:space="preserve">Đăng ký khi bỏ trống email</t>
  </si>
  <si>
    <t xml:space="preserve">email rỗng; các trường khác hợp lệ</t>
  </si>
  <si>
    <t xml:space="preserve">AUTH-004</t>
  </si>
  <si>
    <t xml:space="preserve">Đăng ký khi bỏ trống mật khẩu</t>
  </si>
  <si>
    <t xml:space="preserve">password rỗng; các trường khác hợp lệ</t>
  </si>
  <si>
    <t xml:space="preserve">AUTH-005</t>
  </si>
  <si>
    <t xml:space="preserve">Đăng ký khi bỏ trống số điện thoại</t>
  </si>
  <si>
    <t xml:space="preserve">phone rỗng; các trường khác hợp lệ</t>
  </si>
  <si>
    <t xml:space="preserve">Đăng ký với email đã tồn tại</t>
  </si>
  <si>
    <t xml:space="preserve">customer1@tigershop.test có sẵn trong dữ liệu mẫu</t>
  </si>
  <si>
    <t xml:space="preserve">email = customer1@tigershop.test; các trường khác hợp lệ</t>
  </si>
  <si>
    <t xml:space="preserve">1. Gửi POST /api/auth/register
2. Đếm bản ghi users có email này</t>
  </si>
  <si>
    <t xml:space="preserve">Từ chối đăng ký, mã 409 kèm thông báo thư điện tử đã được sử dụng; không phát sinh bản ghi trùng (ngoại lệ 6a)</t>
  </si>
  <si>
    <t xml:space="preserve">Mã 500, thông báo Email đã tồn tại; số bản ghi vẫn là 1 nhờ ràng buộc UNIQUE</t>
  </si>
  <si>
    <t xml:space="preserve">Khiếm khuyết DEF-12, mức Thấp (Bảng 3.36)</t>
  </si>
  <si>
    <t xml:space="preserve">AUTH-007</t>
  </si>
  <si>
    <t xml:space="preserve">Mật khẩu xác nhận không khớp</t>
  </si>
  <si>
    <t xml:space="preserve">Đang ở trang /register</t>
  </si>
  <si>
    <t xml:space="preserve">password = Test@123; confirmPassword = Test@456</t>
  </si>
  <si>
    <t xml:space="preserve">1. Nhập hai mật khẩu khác nhau
2. Nhấn Đăng ký</t>
  </si>
  <si>
    <t xml:space="preserve">Giao diện báo lỗi xác nhận mật khẩu và không gửi yêu cầu tới máy chủ (Hình 1.7)</t>
  </si>
  <si>
    <t xml:space="preserve">Chưa có kết quả; kiểm tra này nằm hoàn toàn trong Register.js</t>
  </si>
  <si>
    <t xml:space="preserve">Lý do: chức năng nằm hoàn toàn ở giao diện, thuộc giai đoạn 6 chưa triển khai (Bảng 3.38, dòng 1)</t>
  </si>
  <si>
    <t xml:space="preserve">AUTH-008</t>
  </si>
  <si>
    <t xml:space="preserve">Đăng ký với email sai định dạng</t>
  </si>
  <si>
    <t xml:space="preserve">email = abc@@test</t>
  </si>
  <si>
    <t xml:space="preserve">1. Nhập email sai định dạng
2. Nhấn Đăng ký</t>
  </si>
  <si>
    <t xml:space="preserve">Giao diện chặn gửi biểu mẫu và cảnh báo định dạng email (Hình 1.7)</t>
  </si>
  <si>
    <t xml:space="preserve">AUTH-009</t>
  </si>
  <si>
    <t xml:space="preserve">Mật khẩu được băm trước khi lưu</t>
  </si>
  <si>
    <t xml:space="preserve">Đăng ký thành công một tài khoản mới</t>
  </si>
  <si>
    <t xml:space="preserve">email = hash.check.[thời điểm]@tigershop.test; password = Test@123</t>
  </si>
  <si>
    <t xml:space="preserve">1. Đăng ký tài khoản
2. Đọc cột password theo email
3. So khớp bằng bcrypt.compare</t>
  </si>
  <si>
    <t xml:space="preserve">Cột password là chuỗi băm bcrypt, khác mật khẩu gốc (bước 6; mục 1.3.3)</t>
  </si>
  <si>
    <t xml:space="preserve">Giá trị lưu khác mật khẩu gốc, khớp mẫu chuỗi băm bcrypt; bcrypt.compare với mật khẩu gốc trả về true</t>
  </si>
  <si>
    <t xml:space="preserve">AUTH-010</t>
  </si>
  <si>
    <t xml:space="preserve">Voucher chào mừng được phát tự động</t>
  </si>
  <si>
    <t xml:space="preserve">Vừa đăng ký tài khoản mới</t>
  </si>
  <si>
    <t xml:space="preserve">tài khoản tạo ở AUTH-001</t>
  </si>
  <si>
    <t xml:space="preserve">1. Đăng nhập tài khoản mới
2. Mở trang Voucher của tôi</t>
  </si>
  <si>
    <t xml:space="preserve">Ví có đúng một voucher giảm 50%, áp dụng cho đơn từ 50.000 đ, giảm tối đa 100.000 đ, hiệu lực 30 ngày (bước 7)</t>
  </si>
  <si>
    <t xml:space="preserve">Chưa kiểm tra trên giao diện. Kịch bản AUTH-001 mới xác nhận giá trị giảm 50%; đơn tối thiểu, mức giảm tối đa và hạn dùng chưa được đối chiếu</t>
  </si>
  <si>
    <t xml:space="preserve">Lý do: kịch bản hiện có chưa đủ tin cậy làm bằng chứng (Bảng 3.38, dòng 2)</t>
  </si>
  <si>
    <t xml:space="preserve">AUTH-011</t>
  </si>
  <si>
    <t xml:space="preserve">Giới hạn tần suất trên nhóm API xác thực</t>
  </si>
  <si>
    <t xml:space="preserve">Bộ giới hạn thật, không giả lập</t>
  </si>
  <si>
    <t xml:space="preserve">13 yêu cầu POST /api/auth/login liên tiếp từ cùng một địa chỉ</t>
  </si>
  <si>
    <t xml:space="preserve">1. Gửi liên tiếp 13 yêu cầu
2. Ghi mã trạng thái của từng yêu cầu</t>
  </si>
  <si>
    <t xml:space="preserve">Mười yêu cầu đầu được xử lý bình thường; từ yêu cầu thứ 11 trả mã 429 (ngoại lệ 4a)</t>
  </si>
  <si>
    <t xml:space="preserve">Yêu cầu 1 đến 10 được xử lý (mã 401 vì email không tồn tại); yêu cầu 11 đến 13 trả mã 429. Kịch bản AUTH-011b xác nhận thông báo tiếng Việt có cụm từ quá nhanh</t>
  </si>
  <si>
    <t xml:space="preserve">AUTH-012</t>
  </si>
  <si>
    <t xml:space="preserve">UC02</t>
  </si>
  <si>
    <t xml:space="preserve">Đăng nhập tài khoản Quản trị viên</t>
  </si>
  <si>
    <t xml:space="preserve">Tài khoản đang hoạt động</t>
  </si>
  <si>
    <t xml:space="preserve">admin@tigershop.test; Test@123</t>
  </si>
  <si>
    <t xml:space="preserve">1. Gửi POST /api/auth/login</t>
  </si>
  <si>
    <t xml:space="preserve">Mã 200, trả về token và role = ADMIN; giao diện chuyển tới /admin/dashboard (bước 8)</t>
  </si>
  <si>
    <t xml:space="preserve">Mã 200, token là chuỗi JWT, role = ADMIN. Phần chuyển trang trên giao diện chưa kiểm chứng</t>
  </si>
  <si>
    <t xml:space="preserve">Mức kiểm chứng hạn chế: phần giao diện hoặc thời gian thực chưa kiểm chứng (Bảng 3.37, dòng 4)</t>
  </si>
  <si>
    <t xml:space="preserve">AUTH-013</t>
  </si>
  <si>
    <t xml:space="preserve">Đăng nhập tài khoản Quản lý</t>
  </si>
  <si>
    <t xml:space="preserve">manager@tigershop.test; Test@123</t>
  </si>
  <si>
    <t xml:space="preserve">Mã 200, role = MANAGER; giao diện chuyển tới /manager/workspace</t>
  </si>
  <si>
    <t xml:space="preserve">Mã 200, token là chuỗi JWT, role = MANAGER. Phần chuyển trang chưa kiểm chứng</t>
  </si>
  <si>
    <t xml:space="preserve">AUTH-014</t>
  </si>
  <si>
    <t xml:space="preserve">Đăng nhập tài khoản Nhân viên</t>
  </si>
  <si>
    <t xml:space="preserve">status = active</t>
  </si>
  <si>
    <t xml:space="preserve">staff@tigershop.test; Test@123</t>
  </si>
  <si>
    <t xml:space="preserve">Mã 200, role = STAFF; giao diện chuyển tới /staff/workspace</t>
  </si>
  <si>
    <t xml:space="preserve">Mã 200, token là chuỗi JWT, role = STAFF. Phần chuyển trang chưa kiểm chứng</t>
  </si>
  <si>
    <t xml:space="preserve">AUTH-015</t>
  </si>
  <si>
    <t xml:space="preserve">Đăng nhập tài khoản Khách hàng</t>
  </si>
  <si>
    <t xml:space="preserve">customer1@tigershop.test; Test@123</t>
  </si>
  <si>
    <t xml:space="preserve">Mã 200, role = CUSTOMER; giao diện chuyển tới /home</t>
  </si>
  <si>
    <t xml:space="preserve">Mã 200, token là chuỗi JWT, role = CUSTOMER. Phần chuyển trang chưa kiểm chứng</t>
  </si>
  <si>
    <t xml:space="preserve">AUTH-016</t>
  </si>
  <si>
    <t xml:space="preserve">Đăng nhập với mật khẩu sai</t>
  </si>
  <si>
    <t xml:space="preserve">Tài khoản tồn tại trong hệ thống</t>
  </si>
  <si>
    <t xml:space="preserve">customer1@tigershop.test; SaiMatKhau123</t>
  </si>
  <si>
    <t xml:space="preserve">Mã 401, thông báo Wrong password; không cấp token (ngoại lệ 6a)</t>
  </si>
  <si>
    <t xml:space="preserve">Mã 401, Wrong password; phản hồi không có trường token</t>
  </si>
  <si>
    <t xml:space="preserve">Hai thông báo khác nhau cho phép dò email (VUL-10, Chương VI)</t>
  </si>
  <si>
    <t xml:space="preserve">AUTH-017</t>
  </si>
  <si>
    <t xml:space="preserve">Đăng nhập với email không tồn tại</t>
  </si>
  <si>
    <t xml:space="preserve">Email khongtontai@tigershop.test chưa từng đăng ký</t>
  </si>
  <si>
    <t xml:space="preserve">khongtontai@tigershop.test; Test@123</t>
  </si>
  <si>
    <t xml:space="preserve">Mã 401, thông báo User not found (ngoại lệ 4a)</t>
  </si>
  <si>
    <t xml:space="preserve">Mã 401, User not found</t>
  </si>
  <si>
    <t xml:space="preserve">AUTH-018</t>
  </si>
  <si>
    <t xml:space="preserve">Bỏ trống email và mật khẩu</t>
  </si>
  <si>
    <t xml:space="preserve">email rỗng; password rỗng</t>
  </si>
  <si>
    <t xml:space="preserve">Mã 400, thông báo Thiếu email hoặc mật khẩu (ngoại lệ 2a)</t>
  </si>
  <si>
    <t xml:space="preserve">Mã 400, Thiếu email hoặc mật khẩu</t>
  </si>
  <si>
    <t xml:space="preserve">AUTH-019</t>
  </si>
  <si>
    <t xml:space="preserve">Token cấp trước khi tài khoản bị khóa</t>
  </si>
  <si>
    <t xml:space="preserve">customer2 đang hoạt động</t>
  </si>
  <si>
    <t xml:space="preserve">token của customer2</t>
  </si>
  <si>
    <t xml:space="preserve">1. Đăng nhập customer2 và gọi GET /api/users/me
2. Đặt is_active = 0
3. Gọi lại GET /api/users/me bằng token cũ</t>
  </si>
  <si>
    <t xml:space="preserve">Lần gọi sau khi khóa trả mã 403, thông báo Tài khoản của bạn đã bị khóa. (UC23 ngoại lệ 3a)</t>
  </si>
  <si>
    <t xml:space="preserve">Trước khi khóa mã 200; sau khi khóa mã 403 với đúng thông báo. Kịch bản AUTH-019b xác nhận thêm tài khoản customer.locked bị chặn ngay ở bước đăng nhập (mã 403, không cấp token, ngoại lệ 5c)</t>
  </si>
  <si>
    <t xml:space="preserve">AUTH-020</t>
  </si>
  <si>
    <t xml:space="preserve">UC03</t>
  </si>
  <si>
    <t xml:space="preserve">Gọi API được bảo vệ khi không gửi token</t>
  </si>
  <si>
    <t xml:space="preserve">Máy chủ đang chạy</t>
  </si>
  <si>
    <t xml:space="preserve">Yêu cầu GET /api/users/me không có header Authorization</t>
  </si>
  <si>
    <t xml:space="preserve">1. Gửi yêu cầu</t>
  </si>
  <si>
    <t xml:space="preserve">Mã 401, thông báo Token không tồn tại</t>
  </si>
  <si>
    <t xml:space="preserve">Mã 401, Token không tồn tại</t>
  </si>
  <si>
    <t xml:space="preserve">AUTH-021</t>
  </si>
  <si>
    <t xml:space="preserve">Gọi API với token sai định dạng hoặc đã hết hạn</t>
  </si>
  <si>
    <t xml:space="preserve">Bearer abc.def.ghi; token hợp lệ về chữ ký nhưng hết hạn từ 1 giờ trước</t>
  </si>
  <si>
    <t xml:space="preserve">1. Gửi yêu cầu kèm token sai định dạng
2. Gửi yêu cầu kèm token hết hạn</t>
  </si>
  <si>
    <t xml:space="preserve">Cả hai trường hợp trả mã 401, thông báo Token không hợp lệ (ngoại lệ 1a)</t>
  </si>
  <si>
    <t xml:space="preserve">Cả hai trả mã 401, Token không hợp lệ (trường hợp hết hạn chạy ở kịch bản AUTH-021b)</t>
  </si>
  <si>
    <t xml:space="preserve">AUTH-022</t>
  </si>
  <si>
    <t xml:space="preserve">Đăng xuất và xác nhận phiên đã kết thúc</t>
  </si>
  <si>
    <t xml:space="preserve">Đang đăng nhập trên trình duyệt</t>
  </si>
  <si>
    <t xml:space="preserve">Không</t>
  </si>
  <si>
    <t xml:space="preserve">1. Nhấn Đăng xuất
2. Kiểm tra localStorage
3. Truy cập lại trang cần đăng nhập</t>
  </si>
  <si>
    <t xml:space="preserve">Dữ liệu xác thực trong localStorage bị xóa, trình duyệt chuyển về /login và không vào lại được trang bảo vệ (hậu điều kiện UC03)</t>
  </si>
  <si>
    <t xml:space="preserve">Chưa có kết quả; UC03 không có điểm cuối API, toàn bộ xử lý nằm ở giao diện</t>
  </si>
  <si>
    <t xml:space="preserve">AUTH-023</t>
  </si>
  <si>
    <t xml:space="preserve">UC04</t>
  </si>
  <si>
    <t xml:space="preserve">Xem và cập nhật hồ sơ cá nhân</t>
  </si>
  <si>
    <t xml:space="preserve">customer1 đã đăng nhập</t>
  </si>
  <si>
    <t xml:space="preserve">name = Khach hang mot da doi ten; phone = 0987654321</t>
  </si>
  <si>
    <t xml:space="preserve">1. Gửi GET /api/users/me
2. Gửi PUT /api/users/me
3. Truy vấn bảng users</t>
  </si>
  <si>
    <t xml:space="preserve">Mã 200 ở cả hai yêu cầu; họ tên và số điện thoại mới được lưu (bước 5)</t>
  </si>
  <si>
    <t xml:space="preserve">Cả hai yêu cầu trả mã 200; cột name và phone mang đúng giá trị mới. Phần hiển thị sau khi tải lại trang chưa kiểm chứng</t>
  </si>
  <si>
    <t xml:space="preserve">AUTH-024</t>
  </si>
  <si>
    <t xml:space="preserve">Đổi mật khẩu với mật khẩu hiện tại không đúng</t>
  </si>
  <si>
    <t xml:space="preserve">customer2 đã đăng nhập</t>
  </si>
  <si>
    <t xml:space="preserve">currentPassword = SaiMatKhauCu; newPassword = MatKhauMoi@123</t>
  </si>
  <si>
    <t xml:space="preserve">1. Gửi PUT /api/users/me/change-password
2. So sánh cột password trước và sau</t>
  </si>
  <si>
    <t xml:space="preserve">Mã 401, thông báo Mật khẩu hiện tại không đúng; cột password không thay đổi (ngoại lệ 3a)</t>
  </si>
  <si>
    <t xml:space="preserve">Yêu cầu bị từ chối (kịch bản kiểm tra mã từ 400 trở lên); cột password giữ nguyên. Kịch bản AUTH-024b xác nhận mật khẩu mới dưới 6 ký tự bị từ chối với mã 400</t>
  </si>
  <si>
    <t xml:space="preserve">Mức kiểm chứng hạn chế: chỉ kiểm tra mã trạng thái (Bảng 3.37, dòng 1)</t>
  </si>
  <si>
    <t xml:space="preserve">AUTH-025</t>
  </si>
  <si>
    <t xml:space="preserve">Cập nhật ảnh đại diện</t>
  </si>
  <si>
    <t xml:space="preserve">Người dùng đã đăng nhập</t>
  </si>
  <si>
    <t xml:space="preserve">avatar.png dung lượng 500 KB</t>
  </si>
  <si>
    <t xml:space="preserve">1. Mở trang Hồ sơ
2. Chọn ảnh mới
3. Nhấn Tải lên</t>
  </si>
  <si>
    <t xml:space="preserve">Ảnh được lưu vào thư mục uploads, cột avatar được cập nhật, ảnh mới hiển thị trên thanh điều hướng</t>
  </si>
  <si>
    <t xml:space="preserve">Chưa có kết quả đủ tin cậy; kịch bản USR-007 có gọi POST /api/users/me/avatar nhưng tự bỏ qua bước kiểm tra khi máy chủ trả lỗi</t>
  </si>
  <si>
    <t xml:space="preserve">PROD-001</t>
  </si>
  <si>
    <t xml:space="preserve">UC05</t>
  </si>
  <si>
    <t xml:space="preserve">Xem danh sách sản phẩm khi chưa đăng nhập</t>
  </si>
  <si>
    <t xml:space="preserve">Dữ liệu mẫu có 18 sản phẩm active và 3 sản phẩm pending</t>
  </si>
  <si>
    <t xml:space="preserve">Không gửi token</t>
  </si>
  <si>
    <t xml:space="preserve">1. Gửi GET /api/products
2. Đối chiếu với các sản phẩm có status khác active hoặc đã xóa mềm</t>
  </si>
  <si>
    <t xml:space="preserve">Mã 200; chỉ có sản phẩm status = active và chưa bị xóa mềm (bước 2)</t>
  </si>
  <si>
    <t xml:space="preserve">Mã 200; không mã sản phẩm pending hay đã xóa mềm nào xuất hiện trong danh sách</t>
  </si>
  <si>
    <t xml:space="preserve">PROD-002</t>
  </si>
  <si>
    <t xml:space="preserve">Lọc sản phẩm theo danh mục</t>
  </si>
  <si>
    <t xml:space="preserve">4 danh mục đều có sản phẩm</t>
  </si>
  <si>
    <t xml:space="preserve">Danh mục đầu tiên có product_count lớn hơn 0</t>
  </si>
  <si>
    <t xml:space="preserve">1. Gửi GET /api/categories
2. Gửi GET /api/products và lọc theo tên danh mục
3. Đếm trực tiếp trong cơ sở dữ liệu</t>
  </si>
  <si>
    <t xml:space="preserve">Chỉ còn sản phẩm thuộc danh mục đã chọn; số lượng khớp số sản phẩm của danh mục (bước 3)</t>
  </si>
  <si>
    <t xml:space="preserve">Số sản phẩm sau khi lọc bằng số đếm trong cơ sở dữ liệu. Thao tác lọc do Shop.js thực hiện trên trình duyệt nên phần hiển thị chưa kiểm chứng</t>
  </si>
  <si>
    <t xml:space="preserve">PROD-003</t>
  </si>
  <si>
    <t xml:space="preserve">Tìm kiếm theo từ khóa có kết quả</t>
  </si>
  <si>
    <t xml:space="preserve">Có sản phẩm tên chứa từ khóa</t>
  </si>
  <si>
    <t xml:space="preserve">keyword = Kiem Thu</t>
  </si>
  <si>
    <t xml:space="preserve">1. Nhập từ khóa vào ô tìm kiếm
2. Nhấn tìm kiếm</t>
  </si>
  <si>
    <t xml:space="preserve">Hiển thị đúng các sản phẩm có tên chứa từ khóa, không phân biệt chữ hoa và chữ thường (bước 3)</t>
  </si>
  <si>
    <t xml:space="preserve">Chưa có kết quả; tìm kiếm là bộ lọc trên trình duyệt trong Shop.js, máy chủ không nhận tham số tìm kiếm</t>
  </si>
  <si>
    <t xml:space="preserve">PROD-004</t>
  </si>
  <si>
    <t xml:space="preserve">Tìm kiếm với từ khóa không khớp sản phẩm nào</t>
  </si>
  <si>
    <t xml:space="preserve">Đang ở trang danh sách sản phẩm</t>
  </si>
  <si>
    <t xml:space="preserve">keyword = zzzzzzzz</t>
  </si>
  <si>
    <t xml:space="preserve">1. Nhập từ khóa
2. Nhấn tìm kiếm</t>
  </si>
  <si>
    <t xml:space="preserve">Hiển thị thông báo không tìm thấy, không báo lỗi hệ thống (ngoại lệ 3a)</t>
  </si>
  <si>
    <t xml:space="preserve">Chưa có kết quả; cùng lý do với PROD-003</t>
  </si>
  <si>
    <t xml:space="preserve">PROD-005</t>
  </si>
  <si>
    <t xml:space="preserve">Xem chi tiết sản phẩm hợp lệ</t>
  </si>
  <si>
    <t xml:space="preserve">Tồn tại sản phẩm có id xác định</t>
  </si>
  <si>
    <t xml:space="preserve">Mã của sản phẩm đầu tiên trong danh sách công khai</t>
  </si>
  <si>
    <t xml:space="preserve">1. Gửi GET /api/products/:id</t>
  </si>
  <si>
    <t xml:space="preserve">Mã 200; đủ tên, giá, giá gốc, mô tả, ảnh, tồn kho, danh sách biến thể và đánh giá (bước 5)</t>
  </si>
  <si>
    <t xml:space="preserve">Mã 200; có các trường id, name, price, stock. Các trường còn lại chưa được kịch bản kiểm tra</t>
  </si>
  <si>
    <t xml:space="preserve">Mức kiểm chứng hạn chế: chỉ kiểm tra một phần kết quả mong đợi (Bảng 3.37, dòng 2)</t>
  </si>
  <si>
    <t xml:space="preserve">PROD-006</t>
  </si>
  <si>
    <t xml:space="preserve">Xem chi tiết sản phẩm với mã không tồn tại</t>
  </si>
  <si>
    <t xml:space="preserve">productId = 999999</t>
  </si>
  <si>
    <t xml:space="preserve">1. Gửi GET /api/products/999999</t>
  </si>
  <si>
    <t xml:space="preserve">Mã 404, không trả lỗi 500 (ngoại lệ 4a)</t>
  </si>
  <si>
    <t xml:space="preserve">Mã 404</t>
  </si>
  <si>
    <t xml:space="preserve">PROD-007</t>
  </si>
  <si>
    <t xml:space="preserve">Xem danh sách biến thể</t>
  </si>
  <si>
    <t xml:space="preserve">3 sản phẩm đầu có biến thể Size S, M, L</t>
  </si>
  <si>
    <t xml:space="preserve">Mã của một sản phẩm có biến thể</t>
  </si>
  <si>
    <t xml:space="preserve">1. Gửi GET /api/variants/product/:id</t>
  </si>
  <si>
    <t xml:space="preserve">Mã 200; mỗi biến thể có tên, giá và tồn kho riêng</t>
  </si>
  <si>
    <t xml:space="preserve">Mã 200; danh sách có biến thể, bản ghi đầu có đủ variant_name, price, stock</t>
  </si>
  <si>
    <t xml:space="preserve">UC12</t>
  </si>
  <si>
    <t xml:space="preserve">Quản lý thêm sản phẩm mới hợp lệ</t>
  </si>
  <si>
    <t xml:space="preserve">Đăng nhập manager@tigershop.test</t>
  </si>
  <si>
    <t xml:space="preserve">name = SP cua Manager [thời điểm]; price = 250000; stock = 50; ảnh PNG hợp lệ</t>
  </si>
  <si>
    <t xml:space="preserve">1. Gửi POST /api/products dạng multipart
2. Truy vấn status và manager_id của sản phẩm mới</t>
  </si>
  <si>
    <t xml:space="preserve">Mã 200; sản phẩm có status = pending và manager_id là người tạo; chưa hiển thị trên gian hàng cho tới khi được duyệt (bước 5, hậu điều kiện UC12)</t>
  </si>
  <si>
    <t xml:space="preserve">Mã 200; sản phẩm có status = active ngay khi tạo, tức là lên gian hàng mà không qua bước duyệt</t>
  </si>
  <si>
    <t xml:space="preserve">Khiếm khuyết DEF-02, mức Cao (Bảng 3.36); kịch bản PROD-008b ghi nhận thêm DEF-03</t>
  </si>
  <si>
    <t xml:space="preserve">PROD-009</t>
  </si>
  <si>
    <t xml:space="preserve">Thêm sản phẩm khi bỏ trống tên và giá</t>
  </si>
  <si>
    <t xml:space="preserve">Đăng nhập Quản lý</t>
  </si>
  <si>
    <t xml:space="preserve">name rỗng; price rỗng</t>
  </si>
  <si>
    <t xml:space="preserve">1. Gửi POST /api/products</t>
  </si>
  <si>
    <t xml:space="preserve">Mã 400, thông báo Thiếu thông tin sản phẩm (ngoại lệ 2a)</t>
  </si>
  <si>
    <t xml:space="preserve">Mã 400, Thiếu thông tin sản phẩm</t>
  </si>
  <si>
    <t xml:space="preserve">PROD-010</t>
  </si>
  <si>
    <t xml:space="preserve">Tải lên tệp sai định dạng</t>
  </si>
  <si>
    <t xml:space="preserve">tailieu.pdf</t>
  </si>
  <si>
    <t xml:space="preserve">1. Gửi POST /api/products kèm tệp pdf ở trường image</t>
  </si>
  <si>
    <t xml:space="preserve">Từ chối tải lên, chỉ chấp nhận jpg, jpeg, png, webp (ngoại lệ 3a)</t>
  </si>
  <si>
    <t xml:space="preserve">Yêu cầu bị từ chối (kịch bản chỉ kiểm tra mã từ 400 trở lên); bộ lọc fileFilter trong productRoutes.js chặn tệp trước khi ghi đĩa</t>
  </si>
  <si>
    <t xml:space="preserve">PROD-011</t>
  </si>
  <si>
    <t xml:space="preserve">Tải lên ảnh vượt giới hạn dung lượng</t>
  </si>
  <si>
    <t xml:space="preserve">anh_lon.jpg dung lượng 6 MB</t>
  </si>
  <si>
    <t xml:space="preserve">1. Gửi POST /api/products kèm tệp</t>
  </si>
  <si>
    <t xml:space="preserve">Từ chối tải lên vì vượt giới hạn 5 MB (ngoại lệ 3a)</t>
  </si>
  <si>
    <t xml:space="preserve">Yêu cầu bị từ chối (kịch bản chỉ kiểm tra mã từ 400 trở lên)</t>
  </si>
  <si>
    <t xml:space="preserve">PROD-012</t>
  </si>
  <si>
    <t xml:space="preserve">Cập nhật thông tin sản phẩm</t>
  </si>
  <si>
    <t xml:space="preserve">price = 299000; stock = 80</t>
  </si>
  <si>
    <t xml:space="preserve">1. Gửi PUT /api/products/:id
2. Truy vấn price và stock</t>
  </si>
  <si>
    <t xml:space="preserve">Mã 200; giá và tồn kho được cập nhật đúng (bước 7)</t>
  </si>
  <si>
    <t xml:space="preserve">Mã 200; price = 299000, stock = 80</t>
  </si>
  <si>
    <t xml:space="preserve">PROD-013</t>
  </si>
  <si>
    <t xml:space="preserve">Xóa mềm và khôi phục sản phẩm</t>
  </si>
  <si>
    <t xml:space="preserve">Sản phẩm đang active</t>
  </si>
  <si>
    <t xml:space="preserve">Mã của một sản phẩm active</t>
  </si>
  <si>
    <t xml:space="preserve">1. Gửi DELETE /api/products/:id
2. Gửi GET /api/products
3. Gửi PATCH /api/products/:id/restore</t>
  </si>
  <si>
    <t xml:space="preserve">Sau khi xóa: deleted_at có giá trị, sản phẩm biến mất khỏi gian hàng. Sau khi khôi phục: deleted_at trở về NULL (ngoại lệ 7b)</t>
  </si>
  <si>
    <t xml:space="preserve">Cả hai thao tác trả mã 200; deleted_at có giá trị rồi trở về NULL; trong khoảng giữa, sản phẩm không có trong danh sách công khai</t>
  </si>
  <si>
    <t xml:space="preserve">PROD-014</t>
  </si>
  <si>
    <t xml:space="preserve">Thêm biến thể cho sản phẩm</t>
  </si>
  <si>
    <t xml:space="preserve">variant_name = Size XL mau do; price = 270000; stock = 20</t>
  </si>
  <si>
    <t xml:space="preserve">1. Gửi POST /api/variants
2. Truy vấn product_variants</t>
  </si>
  <si>
    <t xml:space="preserve">Mã 200, thông báo Thêm variant thành công; bản ghi biến thể được tạo (bước 6)</t>
  </si>
  <si>
    <t xml:space="preserve">Mã 200, Thêm variant thành công; bản ghi có stock = 20</t>
  </si>
  <si>
    <t xml:space="preserve">PROD-015</t>
  </si>
  <si>
    <t xml:space="preserve">Thêm biến thể khi thiếu dữ liệu bắt buộc</t>
  </si>
  <si>
    <t xml:space="preserve">Đăng nhập bằng tài khoản MANAGER</t>
  </si>
  <si>
    <t xml:space="preserve">variant_name rỗng; price rỗng</t>
  </si>
  <si>
    <t xml:space="preserve">1. Gửi POST /api/variants</t>
  </si>
  <si>
    <t xml:space="preserve">Mã 400, thông báo Thiếu dữ liệu variant (ngoại lệ 6a)</t>
  </si>
  <si>
    <t xml:space="preserve">Mã 400, Thiếu dữ liệu variant</t>
  </si>
  <si>
    <t xml:space="preserve">PROD-016</t>
  </si>
  <si>
    <t xml:space="preserve">Cập nhật tồn kho hàng loạt</t>
  </si>
  <si>
    <t xml:space="preserve">Sản phẩm có 3 biến thể</t>
  </si>
  <si>
    <t xml:space="preserve">Mảng updates gồm 3 cặp mã biến thể và tồn kho mới 5, 10, 15</t>
  </si>
  <si>
    <t xml:space="preserve">1. Gửi PUT /api/variants/bulk-stock
2. Truy vấn tồn kho các biến thể</t>
  </si>
  <si>
    <t xml:space="preserve">Cả 3 biến thể được cập nhật đúng; tổng tồn kho của sản phẩm cha được tính lại chính xác (ngoại lệ 7c)</t>
  </si>
  <si>
    <t xml:space="preserve">Mã 200; tồn kho 3 biến thể lần lượt đúng 5, 10, 15. Tổng tồn kho của sản phẩm cha chưa được kịch bản đối chiếu</t>
  </si>
  <si>
    <t xml:space="preserve">PROD-017</t>
  </si>
  <si>
    <t xml:space="preserve">UC13</t>
  </si>
  <si>
    <t xml:space="preserve">Quản trị viên duyệt sản phẩm chờ</t>
  </si>
  <si>
    <t xml:space="preserve">Có sản phẩm pending; đăng nhập admin@tigershop.test</t>
  </si>
  <si>
    <t xml:space="preserve">1. Gửi PATCH /api/products/:id/decision
2. Truy vấn products và user_activity_logs</t>
  </si>
  <si>
    <t xml:space="preserve">status chuyển thành active; sản phẩm xuất hiện trên gian hàng; nhật ký ghi lại quyết định (bước 4, 5)</t>
  </si>
  <si>
    <t xml:space="preserve">Mã 200; status = active; user_activity_logs có bản ghi mới chứa nội dung Duyệt sản phẩm</t>
  </si>
  <si>
    <t xml:space="preserve">PROD-018</t>
  </si>
  <si>
    <t xml:space="preserve">Quản trị viên từ chối sản phẩm kèm lý do</t>
  </si>
  <si>
    <t xml:space="preserve">Có sản phẩm pending</t>
  </si>
  <si>
    <t xml:space="preserve">status = hidden; reason = Anh san pham khong dat chuan</t>
  </si>
  <si>
    <t xml:space="preserve">1. Gửi PATCH /api/products/:id/decision
2. Truy vấn status và rejection_reason</t>
  </si>
  <si>
    <t xml:space="preserve">status chuyển thành hidden và rejection_reason lưu đúng lý do (ngoại lệ 3a)</t>
  </si>
  <si>
    <t xml:space="preserve">Mã 200; status = hidden; rejection_reason đúng nội dung. Kịch bản PROD-018b xác nhận giá trị nằm ngoài active và hidden bị từ chối với mã 400, Trạng thái không hợp lệ (ngoại lệ 3b)</t>
  </si>
  <si>
    <t xml:space="preserve">PROD-019</t>
  </si>
  <si>
    <t xml:space="preserve">Nhân viên cố gọi điểm cuối duyệt sản phẩm</t>
  </si>
  <si>
    <t xml:space="preserve">Đăng nhập bằng tài khoản STAFF</t>
  </si>
  <si>
    <t xml:space="preserve">token của staff@tigershop.test</t>
  </si>
  <si>
    <t xml:space="preserve">1. Gửi PATCH /api/products/:id/decision</t>
  </si>
  <si>
    <t xml:space="preserve">Mã 403 (ngoại lệ 1a)</t>
  </si>
  <si>
    <t xml:space="preserve">Mã 403</t>
  </si>
  <si>
    <t xml:space="preserve">PROD-020</t>
  </si>
  <si>
    <t xml:space="preserve">Đưa sản phẩm đã bị từ chối trở lại hàng đợi duyệt</t>
  </si>
  <si>
    <t xml:space="preserve">Có sản phẩm status = hidden</t>
  </si>
  <si>
    <t xml:space="preserve">Mã của sản phẩm bị từ chối</t>
  </si>
  <si>
    <t xml:space="preserve">1. Mở danh sách sản phẩm đã quyết định
2. Chọn sản phẩm
3. Nhấn Gửi duyệt lại</t>
  </si>
  <si>
    <t xml:space="preserve">status trở về pending, rejection_reason bị xóa, sản phẩm xuất hiện lại trong danh sách chờ (ngoại lệ 6a)</t>
  </si>
  <si>
    <t xml:space="preserve">Chưa có kết quả; điểm cuối PATCH /api/products/:id/restore-pending thuộc 14 điểm cuối chưa được bộ kiểm thử gọi tới (Bảng 2.13)</t>
  </si>
  <si>
    <t xml:space="preserve">Lý do: có thể kiểm thử ở mức API nhưng chưa có kịch bản (Bảng 3.38, dòng 5)</t>
  </si>
  <si>
    <t xml:space="preserve">PROD-021</t>
  </si>
  <si>
    <t xml:space="preserve">UC14</t>
  </si>
  <si>
    <t xml:space="preserve">Xem cảnh báo tồn kho thấp</t>
  </si>
  <si>
    <t xml:space="preserve">Dữ liệu mẫu có 3 sản phẩm tồn kho 3, 2 và 1</t>
  </si>
  <si>
    <t xml:space="preserve">token của manager@tigershop.test</t>
  </si>
  <si>
    <t xml:space="preserve">1. Gửi GET /api/products/inventory-alert</t>
  </si>
  <si>
    <t xml:space="preserve">Danh sách sản phẩm chưa bị xóa có tồn kho dưới 5, sắp xếp tăng dần (bước 2), kèm số sản phẩm trong thùng rác</t>
  </si>
  <si>
    <t xml:space="preserve">Mã 200; mọi mục đều có stock dưới 5 và theo thứ tự tăng dần. Số sản phẩm trong thùng rác chưa được kiểm tra</t>
  </si>
  <si>
    <t xml:space="preserve">PROD-022</t>
  </si>
  <si>
    <t xml:space="preserve">Nhập thêm hàng và kiểm tra nhật ký kho</t>
  </si>
  <si>
    <t xml:space="preserve">quantity = 50; note = Nhap bo sung</t>
  </si>
  <si>
    <t xml:space="preserve">1. Gửi POST /api/users/inventory/restock
2. Truy vấn stock
3. Truy vấn inventory_logs</t>
  </si>
  <si>
    <t xml:space="preserve">Tồn kho tăng đúng 50; inventory_logs ghi old_stock, new_stock, quantity_added và manager_id (hậu điều kiện UC14)</t>
  </si>
  <si>
    <t xml:space="preserve">Tồn kho tăng đúng 50 so với giá trị ban đầu; bản ghi inventory_logs có old_stock, new_stock và quantity_added = 50 đúng. Cột manager_id chưa được kiểm tra</t>
  </si>
  <si>
    <t xml:space="preserve">ORD-001</t>
  </si>
  <si>
    <t xml:space="preserve">UC06</t>
  </si>
  <si>
    <t xml:space="preserve">Thêm sản phẩm không có biến thể vào giỏ</t>
  </si>
  <si>
    <t xml:space="preserve">customer1 đã đăng nhập, sản phẩm còn hàng</t>
  </si>
  <si>
    <t xml:space="preserve">quantity = 2</t>
  </si>
  <si>
    <t xml:space="preserve">1. Mở trang chi tiết sản phẩm
2. Nhập số lượng 2
3. Nhấn Thêm vào giỏ</t>
  </si>
  <si>
    <t xml:space="preserve">Sản phẩm có trong giỏ với đúng số lượng; biểu tượng giỏ hàng cập nhật (bước 3)</t>
  </si>
  <si>
    <t xml:space="preserve">Chưa có kết quả</t>
  </si>
  <si>
    <t xml:space="preserve">ORD-002</t>
  </si>
  <si>
    <t xml:space="preserve">Thêm sản phẩm có biến thể nhưng chưa chọn biến thể</t>
  </si>
  <si>
    <t xml:space="preserve">Sản phẩm có Size S, M, L</t>
  </si>
  <si>
    <t xml:space="preserve">Không chọn biến thể</t>
  </si>
  <si>
    <t xml:space="preserve">1. Mở trang chi tiết
2. Nhấn Thêm vào giỏ</t>
  </si>
  <si>
    <t xml:space="preserve">Hiển thị cảnh báo; không thêm vào giỏ (ngoại lệ 1a)</t>
  </si>
  <si>
    <t xml:space="preserve">ORD-003</t>
  </si>
  <si>
    <t xml:space="preserve">Thêm số lượng vượt tồn kho</t>
  </si>
  <si>
    <t xml:space="preserve">San pham ton kho thap A còn 3</t>
  </si>
  <si>
    <t xml:space="preserve">quantity = 10</t>
  </si>
  <si>
    <t xml:space="preserve">1. Nhập số lượng 10
2. Nhấn Thêm vào giỏ</t>
  </si>
  <si>
    <t xml:space="preserve">Cảnh báo và giới hạn số lượng theo tồn kho là 3 (ngoại lệ 2a)</t>
  </si>
  <si>
    <t xml:space="preserve">ORD-004</t>
  </si>
  <si>
    <t xml:space="preserve">Nhập số lượng bằng 0 hoặc số âm</t>
  </si>
  <si>
    <t xml:space="preserve">Đang ở trang chi tiết sản phẩm</t>
  </si>
  <si>
    <t xml:space="preserve">quantity = 0; quantity = -1</t>
  </si>
  <si>
    <t xml:space="preserve">1. Nhập 0 rồi nhập -1
2. Nhấn Thêm vào giỏ</t>
  </si>
  <si>
    <t xml:space="preserve">Không cho phép thêm (ngoại lệ 2b)</t>
  </si>
  <si>
    <t xml:space="preserve">ORD-005</t>
  </si>
  <si>
    <t xml:space="preserve">Cập nhật số lượng và xóa mục trong giỏ</t>
  </si>
  <si>
    <t xml:space="preserve">Giỏ có 2 mục</t>
  </si>
  <si>
    <t xml:space="preserve">Mục thứ nhất đổi thành 3; xóa mục thứ hai</t>
  </si>
  <si>
    <t xml:space="preserve">1. Mở trang /cart
2. Tăng số lượng mục thứ nhất
3. Xóa mục thứ hai</t>
  </si>
  <si>
    <t xml:space="preserve">Tổng tiền tạm tính được tính lại đúng sau mỗi thao tác; mục bị xóa biến mất (bước 4, 5)</t>
  </si>
  <si>
    <t xml:space="preserve">ORD-006</t>
  </si>
  <si>
    <t xml:space="preserve">UC07</t>
  </si>
  <si>
    <t xml:space="preserve">Đặt hàng thành công với COD</t>
  </si>
  <si>
    <t xml:space="preserve">customer1 đã đăng nhập; sản phẩm tồn kho 50</t>
  </si>
  <si>
    <t xml:space="preserve">2 sản phẩm; shipping_address = 123 Nguyen Trai, Ha Noi; payment_method = cod</t>
  </si>
  <si>
    <t xml:space="preserve">1. Gửi POST /api/orders
2. Truy vấn tồn kho và bản ghi orders</t>
  </si>
  <si>
    <t xml:space="preserve">Mã 200 kèm orderId; đơn ở trạng thái pending với ngày giao dự kiến sau ba ngày; tồn kho giảm 2 (hậu điều kiện UC07)</t>
  </si>
  <si>
    <t xml:space="preserve">Mã 200, success = true, có orderId; expected_delivery đúng định dạng YYYY-MM-DD; status = pending, payment_method = cod; tồn kho giảm đúng 2. Giá trị cụ thể của ngày giao dự kiến chưa được đối chiếu</t>
  </si>
  <si>
    <t xml:space="preserve">ORD-007</t>
  </si>
  <si>
    <t xml:space="preserve">Đặt hàng thành công với chuyển khoản QR</t>
  </si>
  <si>
    <t xml:space="preserve">Giỏ hàng có sản phẩm, đã đăng nhập</t>
  </si>
  <si>
    <t xml:space="preserve">payment_method = qr</t>
  </si>
  <si>
    <t xml:space="preserve">1. Gửi POST /api/orders
2. Truy vấn orders</t>
  </si>
  <si>
    <t xml:space="preserve">Đơn có payment_method = qr; hội thoại hỗ trợ có thêm tin nhắn hệ thống (bước 4, 11)</t>
  </si>
  <si>
    <t xml:space="preserve">Mã 200; payment_method = qr. Tin nhắn hệ thống trong hội thoại chưa được kiểm tra</t>
  </si>
  <si>
    <t xml:space="preserve">ORD-008</t>
  </si>
  <si>
    <t xml:space="preserve">Đặt hàng khi giỏ rỗng</t>
  </si>
  <si>
    <t xml:space="preserve">Đã đăng nhập, giỏ hàng không có sản phẩm</t>
  </si>
  <si>
    <t xml:space="preserve">items = mảng rỗng</t>
  </si>
  <si>
    <t xml:space="preserve">1. Gửi POST /api/orders</t>
  </si>
  <si>
    <t xml:space="preserve">Mã 400, thông báo Giỏ hàng trống (ngoại lệ 7a)</t>
  </si>
  <si>
    <t xml:space="preserve">Mã 400, Giỏ hàng trống</t>
  </si>
  <si>
    <t xml:space="preserve">ORD-009</t>
  </si>
  <si>
    <t xml:space="preserve">Đặt hàng khi bỏ trống địa chỉ</t>
  </si>
  <si>
    <t xml:space="preserve">Giỏ hàng có sản phẩm</t>
  </si>
  <si>
    <t xml:space="preserve">shipping_address chỉ gồm khoảng trắng</t>
  </si>
  <si>
    <t xml:space="preserve">Mã 400, thông báo thiếu địa chỉ nhận hàng (ngoại lệ 7c)</t>
  </si>
  <si>
    <t xml:space="preserve">Mã 400, Thiếu địa chỉ nhận hàng</t>
  </si>
  <si>
    <t xml:space="preserve">ORD-010</t>
  </si>
  <si>
    <t xml:space="preserve">Đặt hàng với tổng tiền không hợp lệ</t>
  </si>
  <si>
    <t xml:space="preserve">Đã đăng nhập</t>
  </si>
  <si>
    <t xml:space="preserve">total = -50000; total = abc</t>
  </si>
  <si>
    <t xml:space="preserve">1. Gửi với tổng tiền âm
2. Gửi với tổng tiền không phải số</t>
  </si>
  <si>
    <t xml:space="preserve">Cả hai trả mã 400 (ngoại lệ 7b)</t>
  </si>
  <si>
    <t xml:space="preserve">Cả hai trả mã 400, Tổng tiền không hợp lệ</t>
  </si>
  <si>
    <t xml:space="preserve">ORD-011</t>
  </si>
  <si>
    <t xml:space="preserve">Đặt hàng khi không gửi token</t>
  </si>
  <si>
    <t xml:space="preserve">Không có header Authorization</t>
  </si>
  <si>
    <t xml:space="preserve">1. Gửi POST /api/orders
2. Đếm số đơn trước và sau</t>
  </si>
  <si>
    <t xml:space="preserve">Mã 401; không tạo đơn (ngoại lệ 6a)</t>
  </si>
  <si>
    <t xml:space="preserve">Mã 401; số đơn trong bảng orders không đổi</t>
  </si>
  <si>
    <t xml:space="preserve">ORD-012</t>
  </si>
  <si>
    <t xml:space="preserve">Đặt hàng vượt tồn kho</t>
  </si>
  <si>
    <t xml:space="preserve">San pham chi con mot cai có tồn kho 1</t>
  </si>
  <si>
    <t xml:space="preserve">quantity = 5</t>
  </si>
  <si>
    <t xml:space="preserve">1. Gửi POST /api/orders
2. Kiểm tra orders, order_items và products</t>
  </si>
  <si>
    <t xml:space="preserve">Hoàn tác toàn bộ giao dịch, báo Hết hàng; không tạo orders và order_items; tồn kho giữ nguyên 1 (ngoại lệ 9a)</t>
  </si>
  <si>
    <t xml:space="preserve">Mã 500, thông báo chứa Hết hàng; tồn kho vẫn là 1; không phát sinh bản ghi orders và order_items</t>
  </si>
  <si>
    <t xml:space="preserve">Đề xuất trả mã 409 cho lỗi nghiệp vụ (mục 3.5.2)</t>
  </si>
  <si>
    <t xml:space="preserve">ORD-013</t>
  </si>
  <si>
    <t xml:space="preserve">Tính nguyên tử của giao dịch đặt hàng</t>
  </si>
  <si>
    <t xml:space="preserve">Đơn hàng gồm 2 sản phẩm, sản phẩm thứ hai không đủ tồn kho</t>
  </si>
  <si>
    <t xml:space="preserve">Mục 1: 1 sản phẩm còn 50; mục 2: 99 sản phẩm chỉ còn 1; total = 1000</t>
  </si>
  <si>
    <t xml:space="preserve">1. Gửi đơn gồm hai mục
2. Kiểm tra tồn kho của mục 1 và số đơn</t>
  </si>
  <si>
    <t xml:space="preserve">Toàn bộ giao dịch bị hoàn tác; tồn kho mục 1 không bị trừ dù đã được xử lý trước (ngoại lệ 9a)</t>
  </si>
  <si>
    <t xml:space="preserve">Mã 500; tồn kho mục 1 giữ nguyên; số đơn không đổi</t>
  </si>
  <si>
    <t xml:space="preserve">ORD-014</t>
  </si>
  <si>
    <t xml:space="preserve">Hai yêu cầu đồng thời cho sản phẩm tồn kho thấp</t>
  </si>
  <si>
    <t xml:space="preserve">Đặt lại tồn kho bằng 1</t>
  </si>
  <si>
    <t xml:space="preserve">customer1 và customer2 cùng đặt 1 sản phẩm</t>
  </si>
  <si>
    <t xml:space="preserve">1. Gửi đồng thời hai yêu cầu bằng Promise.all
2. Kiểm tra kết quả và tồn kho</t>
  </si>
  <si>
    <t xml:space="preserve">Chỉ một yêu cầu thành công; tồn kho về 0 và không âm, nhờ câu lệnh cập nhật có điều kiện stock lớn hơn hoặc bằng số lượng (bước 9)</t>
  </si>
  <si>
    <t xml:space="preserve">Đúng một yêu cầu trả mã 200; tồn kho bằng 0</t>
  </si>
  <si>
    <t xml:space="preserve">Thiết kế thủ công, đã thực hiện bằng kịch bản Jest (Bảng 3.4)</t>
  </si>
  <si>
    <t xml:space="preserve">ORD-015</t>
  </si>
  <si>
    <t xml:space="preserve">Tin nhắn hệ thống sau khi đặt hàng thành công</t>
  </si>
  <si>
    <t xml:space="preserve">Vừa đặt hàng thành công</t>
  </si>
  <si>
    <t xml:space="preserve">orderId vừa tạo</t>
  </si>
  <si>
    <t xml:space="preserve">1. Đặt hàng
2. Mở hộp thoại hỗ trợ</t>
  </si>
  <si>
    <t xml:space="preserve">Hội thoại có tin nhắn hệ thống chứa mã đơn, tổng tiền, phương thức thanh toán; sự kiện new_message được phát (bước 11)</t>
  </si>
  <si>
    <t xml:space="preserve">Chưa có kết quả; cần quan sát sự kiện thời gian thực trên trình duyệt</t>
  </si>
  <si>
    <t xml:space="preserve">Lý do: cần hai phiên trình duyệt và sự kiện Socket.IO (rủi ro R08) (Bảng 3.38, dòng 3)</t>
  </si>
  <si>
    <t xml:space="preserve">ORD-016</t>
  </si>
  <si>
    <t xml:space="preserve">UC08</t>
  </si>
  <si>
    <t xml:space="preserve">Xem danh sách đơn hàng của chính mình</t>
  </si>
  <si>
    <t xml:space="preserve">customer1 có 5 đơn mẫu và các đơn tạo trong lượt chạy</t>
  </si>
  <si>
    <t xml:space="preserve">token của customer1</t>
  </si>
  <si>
    <t xml:space="preserve">1. Gửi GET /api/orders/my
2. So với các đơn của customer1 trong cơ sở dữ liệu</t>
  </si>
  <si>
    <t xml:space="preserve">Mã 200; đủ các đơn của chính khách hàng, theo thời gian giảm dần (bước 2)</t>
  </si>
  <si>
    <t xml:space="preserve">Mã 200; tập orderId trả về trùng khớp tập đơn của customer1. Thứ tự sắp xếp chưa được kiểm tra</t>
  </si>
  <si>
    <t xml:space="preserve">ORD-017</t>
  </si>
  <si>
    <t xml:space="preserve">Xem chi tiết đơn hàng</t>
  </si>
  <si>
    <t xml:space="preserve">Đơn thuộc về người dùng</t>
  </si>
  <si>
    <t xml:space="preserve">orderId của customer1</t>
  </si>
  <si>
    <t xml:space="preserve">1. Nhấn vào một đơn trong danh sách</t>
  </si>
  <si>
    <t xml:space="preserve">Trang /orders/:id hiển thị người nhận, mặt hàng, tổng tiền, phương thức thanh toán, trạng thái và ngày giao dự kiến (bước 4)</t>
  </si>
  <si>
    <t xml:space="preserve">Chưa có kết quả; kết quả mong đợi là nội dung hiển thị trên trang chi tiết đơn</t>
  </si>
  <si>
    <t xml:space="preserve">ORD-018</t>
  </si>
  <si>
    <t xml:space="preserve">Truy cập đơn hàng của người dùng khác</t>
  </si>
  <si>
    <t xml:space="preserve">customer2 có đơn</t>
  </si>
  <si>
    <t xml:space="preserve">token của customer1; orderId của customer2</t>
  </si>
  <si>
    <t xml:space="preserve">1. Gửi GET /api/orders/:id</t>
  </si>
  <si>
    <t xml:space="preserve">Không trả dữ liệu đơn, trả mã 404 (ngoại lệ 3a)</t>
  </si>
  <si>
    <t xml:space="preserve">Kịch bản chấp nhận mã 403 hoặc 404 và đạt; kịch bản tự bỏ qua bước kiểm tra nếu customer2 chưa có đơn, điều này phụ thuộc bên thắng ở ORD-014. Rà soát getOrderDetail xác nhận truy vấn lọc theo cả id và user_id, nên đơn của người khác nhận mã 404</t>
  </si>
  <si>
    <t xml:space="preserve">Mức kiểm chứng hạn chế: kịch bản có nhánh tự bỏ qua bước kiểm tra (Bảng 3.37, dòng 3)</t>
  </si>
  <si>
    <t xml:space="preserve">ORD-019</t>
  </si>
  <si>
    <t xml:space="preserve">Khách hàng hủy đơn đang pending</t>
  </si>
  <si>
    <t xml:space="preserve">Đơn hàng có status = pending thuộc về người dùng</t>
  </si>
  <si>
    <t xml:space="preserve">Đơn mới đặt gồm 2 sản phẩm</t>
  </si>
  <si>
    <t xml:space="preserve">1. Đặt đơn
2. Gửi POST /api/orders/:id/cancel
3. Kiểm tra status và tồn kho</t>
  </si>
  <si>
    <t xml:space="preserve">Đơn chuyển sang cancelled; tồn kho được hoàn trả đúng số lượng (ngoại lệ 4a)</t>
  </si>
  <si>
    <t xml:space="preserve">Mã 200; status = cancelled; tồn kho tăng lại đúng 2</t>
  </si>
  <si>
    <t xml:space="preserve">ORD-020</t>
  </si>
  <si>
    <t xml:space="preserve">Hủy đơn đã hoàn tất</t>
  </si>
  <si>
    <t xml:space="preserve">Đơn completed trong dữ liệu mẫu</t>
  </si>
  <si>
    <t xml:space="preserve">reason = Khach doi tra (cho nhân viên)</t>
  </si>
  <si>
    <t xml:space="preserve">1. Khách hàng gửi POST /api/orders/:id/cancel
2. Nhân viên gửi POST /api/orders/staff/:id/cancel</t>
  </si>
  <si>
    <t xml:space="preserve">Cả hai bị từ chối; đơn giữ trạng thái completed (UC08 ngoại lệ 4b, UC11 ngoại lệ 4b)</t>
  </si>
  <si>
    <t xml:space="preserve">Khách hàng: mã 400, Chỉ có thể hủy đơn hàng ở trạng thái Pending. Nhân viên (kịch bản ORD-020b): mã 400, Không thể hủy đơn hàng đã completed. Đơn vẫn là completed</t>
  </si>
  <si>
    <t xml:space="preserve">ORD-021</t>
  </si>
  <si>
    <t xml:space="preserve">UC11</t>
  </si>
  <si>
    <t xml:space="preserve">Nhân viên hủy đơn mà không nhập lý do</t>
  </si>
  <si>
    <t xml:space="preserve">staff@tigershop.test; có đơn pending</t>
  </si>
  <si>
    <t xml:space="preserve">reason rỗng</t>
  </si>
  <si>
    <t xml:space="preserve">1. Gửi POST /api/orders/staff/:id/cancel</t>
  </si>
  <si>
    <t xml:space="preserve">Từ chối hủy đơn vì bỏ trống lý do (ngoại lệ 4b)</t>
  </si>
  <si>
    <t xml:space="preserve">Mã 400, Staff phải nhập lý do hủy đơn</t>
  </si>
  <si>
    <t xml:space="preserve">Cập nhật trạng thái đơn theo tiến trình</t>
  </si>
  <si>
    <t xml:space="preserve">Lần lượt confirmed, shipping, completed; sau đó một giá trị nằm ngoài tập trạng thái</t>
  </si>
  <si>
    <t xml:space="preserve">1. Gửi PUT /api/orders/admin/:id/status qua từng bước
2. Kiểm tra user_activity_logs
3. Gửi giá trị không hợp lệ</t>
  </si>
  <si>
    <t xml:space="preserve">Mỗi bước hợp lệ đều thành công, ghi người xử lý và nhật ký thao tác (bước 4, 5); giá trị nằm ngoài năm trạng thái hợp lệ hoặc đi ngược tiến trình bị từ chối (ngoại lệ 4a)</t>
  </si>
  <si>
    <t xml:space="preserve">Kịch bản STAT trong category_stats.test.js gửi giá trị processing bằng token nhân viên: máy chủ trả mã thành công và cột status nhận giá trị processing. Bước (1) và (2) chưa có kịch bản riêng</t>
  </si>
  <si>
    <t xml:space="preserve">Khiếm khuyết DEF-11, mức Trung bình (Bảng 3.36); bằng chứng từ kịch bản nhóm STAT trong category_stats.test.js</t>
  </si>
  <si>
    <t xml:space="preserve">VOUC-001</t>
  </si>
  <si>
    <t xml:space="preserve">UC10</t>
  </si>
  <si>
    <t xml:space="preserve">Quản lý tạo voucher giảm theo phần trăm</t>
  </si>
  <si>
    <t xml:space="preserve">code = SALE[số ngẫu nhiên]; type = percent; value = 20; min_order_value = 200000; max_discount = 50000; quantity = 100; hiệu lực từ 01/01/2026 đến 31/12/2030</t>
  </si>
  <si>
    <t xml:space="preserve">1. Gửi POST /api/vouchers
2. Truy vấn bảng vouchers</t>
  </si>
  <si>
    <t xml:space="preserve">Voucher được tạo với status = active và used = 0 (bước 1)</t>
  </si>
  <si>
    <t xml:space="preserve">Yêu cầu thành công; đúng một bản ghi với status = active, used = 0</t>
  </si>
  <si>
    <t xml:space="preserve">VOUC-002</t>
  </si>
  <si>
    <t xml:space="preserve">Tạo voucher với mã đã tồn tại</t>
  </si>
  <si>
    <t xml:space="preserve">SALE20 có sẵn trong dữ liệu mẫu</t>
  </si>
  <si>
    <t xml:space="preserve">code = SALE20</t>
  </si>
  <si>
    <t xml:space="preserve">1. Gửi POST /api/vouchers
2. Đếm bản ghi có mã SALE20</t>
  </si>
  <si>
    <t xml:space="preserve">Từ chối tạo; không có bản ghi thứ hai (ngoại lệ 1a)</t>
  </si>
  <si>
    <t xml:space="preserve">Yêu cầu bị từ chối (kịch bản kiểm tra mã từ 400 trở lên); vẫn chỉ có một bản ghi SALE20</t>
  </si>
  <si>
    <t xml:space="preserve">VOUC-003</t>
  </si>
  <si>
    <t xml:space="preserve">Khách hàng xem danh sách voucher công khai</t>
  </si>
  <si>
    <t xml:space="preserve">Tồn tại voucher active còn hiệu lực</t>
  </si>
  <si>
    <t xml:space="preserve">1. Gửi GET /api/vouchers/public</t>
  </si>
  <si>
    <t xml:space="preserve">Chỉ gồm voucher đang hoạt động, còn hạn và còn lượt (bước 2)</t>
  </si>
  <si>
    <t xml:space="preserve">Mã 200; danh sách không chứa HETHAN (hết hạn) và HETLUOT (hết lượt)</t>
  </si>
  <si>
    <t xml:space="preserve">VOUC-004</t>
  </si>
  <si>
    <t xml:space="preserve">Khách hàng nhận voucher vào ví</t>
  </si>
  <si>
    <t xml:space="preserve">customer2 chưa có GIAM50K</t>
  </si>
  <si>
    <t xml:space="preserve">voucherId của GIAM50K</t>
  </si>
  <si>
    <t xml:space="preserve">1. Gửi POST /api/user-vouchers/receive/:voucherId
2. Truy vấn user_vouchers</t>
  </si>
  <si>
    <t xml:space="preserve">Bản ghi user_vouchers được tạo với used = 0 (bước 4)</t>
  </si>
  <si>
    <t xml:space="preserve">Yêu cầu thành công; đúng một bản ghi với used = 0</t>
  </si>
  <si>
    <t xml:space="preserve">VOUC-005</t>
  </si>
  <si>
    <t xml:space="preserve">Nhận lại voucher đã có trong ví</t>
  </si>
  <si>
    <t xml:space="preserve">customer1 đã có SALE20</t>
  </si>
  <si>
    <t xml:space="preserve">voucherId của SALE20</t>
  </si>
  <si>
    <t xml:space="preserve">1. Gửi yêu cầu nhận lần nữa
2. Đếm bản ghi user_vouchers</t>
  </si>
  <si>
    <t xml:space="preserve">Không cho nhận lần hai; không tạo bản ghi trùng (ngoại lệ 3b)</t>
  </si>
  <si>
    <t xml:space="preserve">Vẫn một bản ghi. Nội dung phản hồi chưa được kịch bản kiểm tra</t>
  </si>
  <si>
    <t xml:space="preserve">VOUC-006</t>
  </si>
  <si>
    <t xml:space="preserve">Nhận voucher đã hết lượt</t>
  </si>
  <si>
    <t xml:space="preserve">Voucher có used bằng quantity</t>
  </si>
  <si>
    <t xml:space="preserve">voucherId của HETLUOT (used = quantity = 5)</t>
  </si>
  <si>
    <t xml:space="preserve">1. Gửi POST /api/user-vouchers/receive/:voucherId</t>
  </si>
  <si>
    <t xml:space="preserve">Không cho nhận (ngoại lệ 3a)</t>
  </si>
  <si>
    <t xml:space="preserve">Mã 400, Voucher không hợp lệ hoặc đã hết</t>
  </si>
  <si>
    <t xml:space="preserve">VOUC-007</t>
  </si>
  <si>
    <t xml:space="preserve">Nhận voucher đã hết hạn</t>
  </si>
  <si>
    <t xml:space="preserve">Voucher có end_date nhỏ hơn ngày hiện tại</t>
  </si>
  <si>
    <t xml:space="preserve">voucherId của HETHAN (end_date là ngày hôm trước)</t>
  </si>
  <si>
    <t xml:space="preserve">Mã 400. Nội dung thông báo chưa được kịch bản kiểm tra</t>
  </si>
  <si>
    <t xml:space="preserve">VOUC-008</t>
  </si>
  <si>
    <t xml:space="preserve">Áp dụng voucher cho đơn đạt giá trị tối thiểu, mức giảm vượt trần</t>
  </si>
  <si>
    <t xml:space="preserve">Voucher SALE20 giảm 20 phần trăm, tối đa 50.000đ, đơn tối thiểu 200.000đ</t>
  </si>
  <si>
    <t xml:space="preserve">code = SALE20; total = 300000</t>
  </si>
  <si>
    <t xml:space="preserve">1. Gửi POST /api/vouchers/apply</t>
  </si>
  <si>
    <t xml:space="preserve">Mã 200; discount = 50000 do bị chặn bởi max_discount; finalTotal = 250000 (UC10 bước 5)</t>
  </si>
  <si>
    <t xml:space="preserve">Mã 200; discount = 50000; finalTotal = 250000. Kịch bản VOUC-008b tại biên 200.000 đ cho discount = 40000</t>
  </si>
  <si>
    <t xml:space="preserve">VOUC-009</t>
  </si>
  <si>
    <t xml:space="preserve">Áp dụng voucher cho đơn dưới giá trị tối thiểu</t>
  </si>
  <si>
    <t xml:space="preserve">Voucher yêu cầu đơn tối thiểu 200.000đ</t>
  </si>
  <si>
    <t xml:space="preserve">code = SALE20; total = 150000</t>
  </si>
  <si>
    <t xml:space="preserve">Không áp dụng giảm giá, báo đơn chưa đạt giá trị tối thiểu (ngoại lệ 5a)</t>
  </si>
  <si>
    <t xml:space="preserve">Mã 400, thông báo bắt đầu bằng Đơn tối thiểu. Theo mã nguồn, giá trị trong thông báo lấy thẳng từ cột DECIMAL nên hiển thị dạng 200000.00 thay vì 200.000</t>
  </si>
  <si>
    <t xml:space="preserve">Kịch bản VOUC-009c ghi nhận DEF-04</t>
  </si>
  <si>
    <t xml:space="preserve">VOUC-010</t>
  </si>
  <si>
    <t xml:space="preserve">Áp dụng mã voucher không tồn tại</t>
  </si>
  <si>
    <t xml:space="preserve">code = MAKHONGTONTAI; total = 500000</t>
  </si>
  <si>
    <t xml:space="preserve">Mã 400, thông báo Voucher không hợp lệ</t>
  </si>
  <si>
    <t xml:space="preserve">Mã 400, Voucher không hợp lệ</t>
  </si>
  <si>
    <t xml:space="preserve">Kịch bản VOUC-010b ghi nhận DEF-09</t>
  </si>
  <si>
    <t xml:space="preserve">VOUC-011</t>
  </si>
  <si>
    <t xml:space="preserve">Dùng voucher khi đặt hàng và đánh dấu đã dùng</t>
  </si>
  <si>
    <t xml:space="preserve">SALE20 có trong ví customer1, chưa dùng</t>
  </si>
  <si>
    <t xml:space="preserve">voucher_ids gồm mã của SALE20</t>
  </si>
  <si>
    <t xml:space="preserve">1. Gửi POST /api/orders kèm voucher
2. Truy vấn user_vouchers và vouchers</t>
  </si>
  <si>
    <t xml:space="preserve">Voucher trong ví được đánh dấu đã dùng, bộ đếm used tăng thêm 1, voucher chuyển không hoạt động khi hết lượt (UC07 bước 10)</t>
  </si>
  <si>
    <t xml:space="preserve">Mã 200; user_vouchers.used = 1; vouchers.used tăng đúng 1. Nhánh chuyển sang không hoạt động chưa được kiểm tra</t>
  </si>
  <si>
    <t xml:space="preserve">VOUC-012</t>
  </si>
  <si>
    <t xml:space="preserve">Dùng lại voucher đã sử dụng</t>
  </si>
  <si>
    <t xml:space="preserve">SALE20 vừa được dùng ở VOUC-011</t>
  </si>
  <si>
    <t xml:space="preserve">1. Gửi POST /api/orders
2. Kiểm tra tồn kho và số đơn</t>
  </si>
  <si>
    <t xml:space="preserve">Hoàn tác giao dịch, báo Voucher không khả dụng; không tạo đơn, không trừ tồn kho (UC07 ngoại lệ 10a)</t>
  </si>
  <si>
    <t xml:space="preserve">Mã 500, Voucher không khả dụng; tồn kho và số đơn không đổi</t>
  </si>
  <si>
    <t xml:space="preserve">REV-001</t>
  </si>
  <si>
    <t xml:space="preserve">UC09</t>
  </si>
  <si>
    <t xml:space="preserve">Đánh giá sản phẩm đã mua</t>
  </si>
  <si>
    <t xml:space="preserve">customer1 có đơn completed chứa sản phẩm trong dữ liệu mẫu</t>
  </si>
  <si>
    <t xml:space="preserve">rating = 5; comment = San pham rat tot</t>
  </si>
  <si>
    <t xml:space="preserve">1. Gửi POST /api/products/:id/reviews
2. Truy vấn product_reviews</t>
  </si>
  <si>
    <t xml:space="preserve">Mã 200, thông báo Đã lưu đánh giá sản phẩm; đánh giá được lưu (bước 6)</t>
  </si>
  <si>
    <t xml:space="preserve">Mã 200, Đã lưu đánh giá sản phẩm; bản ghi có rating = 5 và đúng nội dung</t>
  </si>
  <si>
    <t xml:space="preserve">REV-002</t>
  </si>
  <si>
    <t xml:space="preserve">Số sao nằm ngoài khoảng cho phép</t>
  </si>
  <si>
    <t xml:space="preserve">Khách hàng đủ điều kiện đánh giá</t>
  </si>
  <si>
    <t xml:space="preserve">rating = 0; rating = 6</t>
  </si>
  <si>
    <t xml:space="preserve">1. Gửi với điểm 0
2. Gửi với điểm 6</t>
  </si>
  <si>
    <t xml:space="preserve">Cả hai trả mã 400 (ngoại lệ 2a)</t>
  </si>
  <si>
    <t xml:space="preserve">Cả hai trả mã 400, Rating phải từ 1 đến 5. Kịch bản REV-002b xác nhận hai giá trị biên 1 và 5 được chấp nhận</t>
  </si>
  <si>
    <t xml:space="preserve">REV-003</t>
  </si>
  <si>
    <t xml:space="preserve">Đánh giá sản phẩm chưa từng mua</t>
  </si>
  <si>
    <t xml:space="preserve">customer2 chưa có đơn nào chứa sản phẩm</t>
  </si>
  <si>
    <t xml:space="preserve">rating = 5</t>
  </si>
  <si>
    <t xml:space="preserve">1. Gửi POST /api/products/:id/reviews</t>
  </si>
  <si>
    <t xml:space="preserve">Mã 403, thông báo Đánh giá chỉ khả dụng khi đơn đã hoàn tất (ngoại lệ 5a)</t>
  </si>
  <si>
    <t xml:space="preserve">Mã 403, Đánh giá chỉ khả dụng khi đơn đã hoàn tất</t>
  </si>
  <si>
    <t xml:space="preserve">REV-004</t>
  </si>
  <si>
    <t xml:space="preserve">Cập nhật đánh giá đã có</t>
  </si>
  <si>
    <t xml:space="preserve">customer1 đã đánh giá sản phẩm</t>
  </si>
  <si>
    <t xml:space="preserve">rating = 3; comment = Dung mot tuan thay binh thuong</t>
  </si>
  <si>
    <t xml:space="preserve">1. Gửi đánh giá lần hai
2. Đếm và đọc bản ghi product_reviews</t>
  </si>
  <si>
    <t xml:space="preserve">Cập nhật đánh giá cũ thay vì tạo mới, nhờ ràng buộc duy nhất (product_id, user_id) (ngoại lệ 6a)</t>
  </si>
  <si>
    <t xml:space="preserve">Mã 200; số bản ghi không đổi; rating = 3 và comment mới. Cột updated_at chưa được kiểm tra</t>
  </si>
  <si>
    <t xml:space="preserve">REV-005</t>
  </si>
  <si>
    <t xml:space="preserve">Đánh giá kèm ảnh minh họa</t>
  </si>
  <si>
    <t xml:space="preserve">rating = 4; review.png</t>
  </si>
  <si>
    <t xml:space="preserve">1. Gửi đánh giá kèm tệp ảnh
2. Truy vấn image_url</t>
  </si>
  <si>
    <t xml:space="preserve">Ảnh được lưu vào thư mục uploads, đường dẫn ghi vào image_url (bước 3)</t>
  </si>
  <si>
    <t xml:space="preserve">Mã 200; image_url bắt đầu bằng uploads/</t>
  </si>
  <si>
    <t xml:space="preserve">REV-006</t>
  </si>
  <si>
    <t xml:space="preserve">Nhân viên cố gửi đánh giá</t>
  </si>
  <si>
    <t xml:space="preserve">Mã 403; chỉ khách hàng được đánh giá (tác nhân của UC09)</t>
  </si>
  <si>
    <t xml:space="preserve">Mã 403, Chỉ khách hàng mới được đánh giá sản phẩm</t>
  </si>
  <si>
    <t xml:space="preserve">REV-007</t>
  </si>
  <si>
    <t xml:space="preserve">Xem danh sách đánh giá của sản phẩm</t>
  </si>
  <si>
    <t xml:space="preserve">Sản phẩm đã có đánh giá</t>
  </si>
  <si>
    <t xml:space="preserve">Mã sản phẩm đã đánh giá ở REV-001</t>
  </si>
  <si>
    <t xml:space="preserve">1. Gửi GET /api/products/:id/reviews</t>
  </si>
  <si>
    <t xml:space="preserve">Mã 200; đủ tên người đánh giá, số sao, nội dung và ảnh nếu có</t>
  </si>
  <si>
    <t xml:space="preserve">Mã 200; danh sách có ít nhất một đánh giá. Các trường của từng đánh giá chưa được kiểm tra</t>
  </si>
  <si>
    <t xml:space="preserve">REV-008</t>
  </si>
  <si>
    <t xml:space="preserve">Đánh giá khi đơn thanh toán QR chưa hoàn tất</t>
  </si>
  <si>
    <t xml:space="preserve">customer2 vừa đặt đơn QR, đơn có status = pending</t>
  </si>
  <si>
    <t xml:space="preserve">rating = 5; comment = Danh gia khi don QR con pending</t>
  </si>
  <si>
    <t xml:space="preserve">1. Đặt đơn QR
2. Xác nhận đơn đang pending
3. Gửi đánh giá cho sản phẩm trong đơn</t>
  </si>
  <si>
    <t xml:space="preserve">Mã 200, đánh giá được lưu, vì đơn thanh toán bằng chuyển khoản QR thỏa tiền điều kiện của UC09</t>
  </si>
  <si>
    <t xml:space="preserve">Mã 200, đánh giá được lưu khi đơn QR vẫn ở trạng thái pending</t>
  </si>
  <si>
    <t xml:space="preserve">Đơn QR thỏa tiền điều kiện UC09 theo mục 1.1.2; Thiết kế thủ công, đã thực hiện bằng kịch bản Jest (Bảng 3.4)</t>
  </si>
  <si>
    <t xml:space="preserve">CHAT-001</t>
  </si>
  <si>
    <t xml:space="preserve">UC21</t>
  </si>
  <si>
    <t xml:space="preserve">Tự động tạo hội thoại khi khách hàng mở hộp thoại hỗ trợ</t>
  </si>
  <si>
    <t xml:space="preserve">customer1 chưa có hội thoại</t>
  </si>
  <si>
    <t xml:space="preserve">1. Gửi GET /api/chat/my-thread hai lần
2. Đếm bản ghi threads của customer1</t>
  </si>
  <si>
    <t xml:space="preserve">Lần đầu tạo một hội thoại ở trạng thái open; lần sau dùng lại đúng hội thoại cũ, mỗi khách hàng có đúng một hội thoại (bước 2)</t>
  </si>
  <si>
    <t xml:space="preserve">Mã 200; hai lần trả về cùng một id; bảng threads có đúng một bản ghi của customer1</t>
  </si>
  <si>
    <t xml:space="preserve">CHAT-002</t>
  </si>
  <si>
    <t xml:space="preserve">Khách hàng gửi tin nhắn cho nhân viên</t>
  </si>
  <si>
    <t xml:space="preserve">Hội thoại đã tồn tại</t>
  </si>
  <si>
    <t xml:space="preserve">content = Cho minh hoi ve don hang</t>
  </si>
  <si>
    <t xml:space="preserve">1. Gửi POST /api/chat/messages
2. Truy vấn chat_messages</t>
  </si>
  <si>
    <t xml:space="preserve">Tin nhắn được lưu và phát sự kiện new_message tới phòng hội thoại (bước 5)</t>
  </si>
  <si>
    <t xml:space="preserve">Yêu cầu thành công; sender_role = USER, nội dung đúng. Sự kiện Socket.IO chưa kiểm chứng. Kịch bản CHAT-002b xác nhận tin nhắn chỉ gồm khoảng trắng bị từ chối với mã 400</t>
  </si>
  <si>
    <t xml:space="preserve">CHAT-003</t>
  </si>
  <si>
    <t xml:space="preserve">Khách hàng yêu cầu gặp nhân viên</t>
  </si>
  <si>
    <t xml:space="preserve">threadId hợp lệ</t>
  </si>
  <si>
    <t xml:space="preserve">1. Nhấn Gặp nhân viên
2. Quan sát trạng thái hội thoại và màn hình nhân viên</t>
  </si>
  <si>
    <t xml:space="preserve">Hội thoại chuyển sang staff_needed và sự kiện request_staff được phát tới nhân viên (bước 3)</t>
  </si>
  <si>
    <t xml:space="preserve">Chưa đủ kết quả. Kịch bản CHAT2-001 mới xác nhận phần máy chủ: status = staff_needed, is_human_needed = 1. Phần phát sự kiện tới nhân viên chưa kiểm chứng</t>
  </si>
  <si>
    <t xml:space="preserve">CHAT-004</t>
  </si>
  <si>
    <t xml:space="preserve">Nhân viên trả lời và khách hàng nhận tin theo thời gian thực</t>
  </si>
  <si>
    <t xml:space="preserve">Hai trình duyệt đang mở</t>
  </si>
  <si>
    <t xml:space="preserve">message = Chao ban, minh ho tro ngay</t>
  </si>
  <si>
    <t xml:space="preserve">1. Nhân viên gửi tin
2. Quan sát màn hình khách hàng mà không tải lại trang</t>
  </si>
  <si>
    <t xml:space="preserve">Tin nhắn xuất hiện tức thì trên màn hình khách hàng (bước 5)</t>
  </si>
  <si>
    <t xml:space="preserve">CHAT-005</t>
  </si>
  <si>
    <t xml:space="preserve">Giới hạn tần suất gửi tin qua Socket.IO</t>
  </si>
  <si>
    <t xml:space="preserve">Hội thoại đang mở</t>
  </si>
  <si>
    <t xml:space="preserve">8 tin nhắn liên tiếp trong 60 giây</t>
  </si>
  <si>
    <t xml:space="preserve">1. Gửi liên tục 8 tin
2. Ghi nhận phản hồi</t>
  </si>
  <si>
    <t xml:space="preserve">Năm tin đầu được xử lý; từ tin thứ 6 bị chặn tạm thời (ngoại lệ 5a)</t>
  </si>
  <si>
    <t xml:space="preserve">CHAT-006</t>
  </si>
  <si>
    <t xml:space="preserve">Tự động kết nối lại khi mất kết nối WebSocket</t>
  </si>
  <si>
    <t xml:space="preserve">Ngắt mạng 10 giây rồi khôi phục</t>
  </si>
  <si>
    <t xml:space="preserve">1. Ngắt mạng
2. Chờ 10 giây
3. Khôi phục mạng và gửi tin mới</t>
  </si>
  <si>
    <t xml:space="preserve">Giao diện tự kết nối lại; tin mới gửi thành công; không mất lịch sử (ngoại lệ 5b)</t>
  </si>
  <si>
    <t xml:space="preserve">CHAT-007</t>
  </si>
  <si>
    <t xml:space="preserve">Xem danh sách hội thoại hỗ trợ</t>
  </si>
  <si>
    <t xml:space="preserve">Đã có hội thoại của customer1</t>
  </si>
  <si>
    <t xml:space="preserve">token của admin (điểm cuối cho phép ADMIN, MANAGER, STAFF)</t>
  </si>
  <si>
    <t xml:space="preserve">1. Gửi GET /api/chat/admin/threads</t>
  </si>
  <si>
    <t xml:space="preserve">Danh sách hội thoại kèm email khách hàng và thời điểm tin nhắn cuối, sắp xếp giảm dần (ngoại lệ 7a)</t>
  </si>
  <si>
    <t xml:space="preserve">Mã 200; mỗi phần tử có threadId, userId, email. Thứ tự sắp xếp chưa được kiểm tra</t>
  </si>
  <si>
    <t xml:space="preserve">CHAT-008</t>
  </si>
  <si>
    <t xml:space="preserve">Xem nhanh đơn hàng của khách trong khung hội thoại</t>
  </si>
  <si>
    <t xml:space="preserve">customer1 có đơn</t>
  </si>
  <si>
    <t xml:space="preserve">userId của customer1; token của admin</t>
  </si>
  <si>
    <t xml:space="preserve">1. Gửi GET /api/chat/admin/users/:userId/orders</t>
  </si>
  <si>
    <t xml:space="preserve">Trả về đúng danh sách đơn của khách hàng đó (bước 7)</t>
  </si>
  <si>
    <t xml:space="preserve">Mã 200. Nội dung danh sách chưa được đối chiếu</t>
  </si>
  <si>
    <t xml:space="preserve">Khách hàng cố đọc hội thoại không thuộc về mình</t>
  </si>
  <si>
    <t xml:space="preserve">customer2 có hội thoại chứa tin nhắn riêng</t>
  </si>
  <si>
    <t xml:space="preserve">token của customer1; threadId của customer2; tin nhắn mẫu Thong tin rieng tu cua khach hang 2</t>
  </si>
  <si>
    <t xml:space="preserve">1. Gửi GET /api/chat/messages/:threadId bằng token của customer1</t>
  </si>
  <si>
    <t xml:space="preserve">Hệ thống từ chối; chỉ chủ hội thoại, nhân viên và Quản trị viên được đọc (ngoại lệ 5c)</t>
  </si>
  <si>
    <t xml:space="preserve">Mã 200; phản hồi chứa nguyên văn tin nhắn riêng tư của customer2</t>
  </si>
  <si>
    <t xml:space="preserve">Khiếm khuyết DEF-08, trùng VUL-01, mức Nghiêm trọng (Bảng 3.36)</t>
  </si>
  <si>
    <t xml:space="preserve">CHAT-010</t>
  </si>
  <si>
    <t xml:space="preserve">UC22</t>
  </si>
  <si>
    <t xml:space="preserve">Nhận thông báo khi trạng thái đơn hàng thay đổi</t>
  </si>
  <si>
    <t xml:space="preserve">Khách hàng có đơn đang xử lý</t>
  </si>
  <si>
    <t xml:space="preserve">Nhân viên đổi đơn sang shipping</t>
  </si>
  <si>
    <t xml:space="preserve">1. Nhân viên cập nhật trạng thái đơn
2. Khách hàng quan sát biểu tượng chuông</t>
  </si>
  <si>
    <t xml:space="preserve">notifications có bản ghi cho đúng người dùng; số chưa đọc trên biểu tượng chuông tăng 1 (bước 1, 2)</t>
  </si>
  <si>
    <t xml:space="preserve">Chưa có kết quả; cần quan sát giao diện khách hàng trong lúc nhân viên thao tác</t>
  </si>
  <si>
    <t xml:space="preserve">CHAT-011</t>
  </si>
  <si>
    <t xml:space="preserve">Đánh dấu đã đọc và bộ lọc loại thông báo</t>
  </si>
  <si>
    <t xml:space="preserve">customer1 có thông báo chưa đọc</t>
  </si>
  <si>
    <t xml:space="preserve">Chèn 1 thông báo loại order và 1 thông báo loại low_stock chưa đọc</t>
  </si>
  <si>
    <t xml:space="preserve">1. Gửi GET /api/notifications/unread
2. Gửi GET /api/notifications
3. Gửi PUT /api/notifications/mark-read
4. Đếm lại</t>
  </si>
  <si>
    <t xml:space="preserve">Số chưa đọc không tính các loại admin_report, low_stock, revenue (ngoại lệ 2b); sau khi đánh dấu, số chưa đọc về 0 (bước 4)</t>
  </si>
  <si>
    <t xml:space="preserve">count = 1 (không tính low_stock); sau khi đánh dấu, count = 0. Kịch bản CHAT-011b xác nhận customer1 không thấy thông báo của customer2 (ngoại lệ 3a)</t>
  </si>
  <si>
    <t xml:space="preserve">AI-001</t>
  </si>
  <si>
    <t xml:space="preserve">UC20</t>
  </si>
  <si>
    <t xml:space="preserve">Gửi câu hỏi tư vấn hợp lệ</t>
  </si>
  <si>
    <t xml:space="preserve">Đã cấu hình GEMINI_API_KEY; kho có sản phẩm còn hàng</t>
  </si>
  <si>
    <t xml:space="preserve">message = Minh muon tim ao khoac mua dong duoi 500 nghin</t>
  </si>
  <si>
    <t xml:space="preserve">1. Gửi POST /api/chat/ai/talk</t>
  </si>
  <si>
    <t xml:space="preserve">Mã 200 kèm câu trả lời; chỉ dẫn hệ thống gửi cho mô hình gemini-2.5-flash chứa danh mục sản phẩm đang hoạt động, chưa bị xóa và còn hàng (bước 5, 6, 8)</t>
  </si>
  <si>
    <t xml:space="preserve">Mã 200, reply không rỗng, mô hình được gọi đúng một lần. Kịch bản AI-001b xác nhận chỉ dẫn hệ thống chứa tên sản phẩm còn hàng có thật và mô hình được chọn là gemini-2.5-flash</t>
  </si>
  <si>
    <t xml:space="preserve">AI-002</t>
  </si>
  <si>
    <t xml:space="preserve">Gửi tin nhắn rỗng</t>
  </si>
  <si>
    <t xml:space="preserve">message rỗng; message chỉ gồm khoảng trắng</t>
  </si>
  <si>
    <t xml:space="preserve">1. Gửi hai tin nhắn</t>
  </si>
  <si>
    <t xml:space="preserve">Mã 400 (ngoại lệ 2a)</t>
  </si>
  <si>
    <t xml:space="preserve">Cả hai trả mã 400, Tin nhắn không được để trống; mô hình không bị gọi</t>
  </si>
  <si>
    <t xml:space="preserve">AI-003</t>
  </si>
  <si>
    <t xml:space="preserve">Lưu lịch sử hội thoại</t>
  </si>
  <si>
    <t xml:space="preserve">Đã gửi ít nhất 1 câu hỏi</t>
  </si>
  <si>
    <t xml:space="preserve">message = Cau hoi luu lich su</t>
  </si>
  <si>
    <t xml:space="preserve">1. Gửi câu hỏi
2. Truy vấn ai_chat_messages</t>
  </si>
  <si>
    <t xml:space="preserve">Câu hỏi (vai USER) và câu trả lời (vai AI) được lưu (bước 7)</t>
  </si>
  <si>
    <t xml:space="preserve">Tổng số tin tăng đúng 2; hai bản ghi mới có role USER và AI</t>
  </si>
  <si>
    <t xml:space="preserve">AI-004</t>
  </si>
  <si>
    <t xml:space="preserve">Mỗi người dùng chỉ có một phiên AI</t>
  </si>
  <si>
    <t xml:space="preserve">Người dùng đã có phiên AI</t>
  </si>
  <si>
    <t xml:space="preserve">Gửi 3 câu hỏi liên tiếp</t>
  </si>
  <si>
    <t xml:space="preserve">1. Gửi 3 câu hỏi
2. Đếm ai_chat_sessions của customer1</t>
  </si>
  <si>
    <t xml:space="preserve">Đúng một bản ghi phiên, được dùng lại (hậu điều kiện UC20)</t>
  </si>
  <si>
    <t xml:space="preserve">Đúng một bản ghi</t>
  </si>
  <si>
    <t xml:space="preserve">AI-005</t>
  </si>
  <si>
    <t xml:space="preserve">Duy trì ngữ cảnh nhiều lượt</t>
  </si>
  <si>
    <t xml:space="preserve">Đã có lịch sử hội thoại</t>
  </si>
  <si>
    <t xml:space="preserve">message = Cai do con size L khong</t>
  </si>
  <si>
    <t xml:space="preserve">1. Gửi câu hỏi dùng đại từ thay thế</t>
  </si>
  <si>
    <t xml:space="preserve">10 tin nhắn gần nhất được nạp và chuẩn hóa thành hội thoại nhiều lượt gửi kèm yêu cầu tới mô hình (bước 4)</t>
  </si>
  <si>
    <t xml:space="preserve">Lịch sử gửi kèm mô hình không rỗng, bắt đầu bằng lượt của người dùng và không quá 10 tin</t>
  </si>
  <si>
    <t xml:space="preserve">AI-006</t>
  </si>
  <si>
    <t xml:space="preserve">Hỏi về sản phẩm không có trong kho</t>
  </si>
  <si>
    <t xml:space="preserve">Kho hàng không có sản phẩm loại này</t>
  </si>
  <si>
    <t xml:space="preserve">message = Shop co ban xe may khong</t>
  </si>
  <si>
    <t xml:space="preserve">1. Gửi câu hỏi</t>
  </si>
  <si>
    <t xml:space="preserve">Trợ lý trả lời trung thực là không có, không bịa sản phẩm</t>
  </si>
  <si>
    <t xml:space="preserve">Chưa có kết quả; nội dung câu trả lời phụ thuộc chất lượng của Gemini, chỉ đánh giá được khi gọi dịch vụ thật</t>
  </si>
  <si>
    <t xml:space="preserve">Lý do: kết quả mong đợi thuộc chất lượng nội tại của Gemini (Bảng 2.3) (Bảng 3.38, dòng 4)</t>
  </si>
  <si>
    <t xml:space="preserve">AI-007</t>
  </si>
  <si>
    <t xml:space="preserve">Xử lý khi thiếu khóa API Gemini</t>
  </si>
  <si>
    <t xml:space="preserve">Xóa hoặc để trống biến môi trường GEMINI_API_KEY</t>
  </si>
  <si>
    <t xml:space="preserve">Xóa biến môi trường GEMINI_API_KEY; message = Xin chao</t>
  </si>
  <si>
    <t xml:space="preserve">1. Gửi câu hỏi khi thiếu khóa</t>
  </si>
  <si>
    <t xml:space="preserve">Phản hồi success: false kèm thông báo Tiger AI đang bảo trì; hệ thống không sập (ngoại lệ 3a; mục 1.3.6)</t>
  </si>
  <si>
    <t xml:space="preserve">Mã 200, success = false, thông báo chứa cụm bảo trì; mô hình không bị gọi</t>
  </si>
  <si>
    <t xml:space="preserve">Trả mã 200 cho phản hồi thất bại, ghi nhận PERF-04 ở Chương V; Thiết kế thủ công, đã thực hiện bằng kịch bản Jest (Bảng 3.4)</t>
  </si>
  <si>
    <t xml:space="preserve">Thời gian phản hồi của trợ lý ảo</t>
  </si>
  <si>
    <t xml:space="preserve">Đã cấu hình GEMINI_API_KEY; gọi dịch vụ Gemini thật, không giả lập</t>
  </si>
  <si>
    <t xml:space="preserve">10 câu hỏi khác nhau (thực tế đo 6 câu)</t>
  </si>
  <si>
    <t xml:space="preserve">1. Gửi tuần tự từng câu tới Gemini thật
2. Ghi thời gian từ lúc gửi tới lúc nhận đủ câu trả lời</t>
  </si>
  <si>
    <t xml:space="preserve">Thời gian phản hồi trung bình dưới 5.000 ms (Bảng 1.31, chỉ tiêu 3)</t>
  </si>
  <si>
    <t xml:space="preserve">Đo 6 lượt (mục 5.4.5): trung bình 5.017 ms; 1 trên 6 lượt nhận thông báo bảo trì thay vì câu trả lời. Cỡ mẫu nhỏ hơn thiết kế</t>
  </si>
  <si>
    <t xml:space="preserve">Đo trực tiếp với Gemini thật</t>
  </si>
  <si>
    <t xml:space="preserve">Khiếm khuyết PERF-03, mức Trung bình (Bảng 3.36); cỡ mẫu 6 lượt, nhỏ hơn 10 lượt đã thiết kế; Thiết kế thủ công, thực hiện bằng phép đo riêng 6 lượt (mục 5.4.5)</t>
  </si>
  <si>
    <t xml:space="preserve">AI-009</t>
  </si>
  <si>
    <t xml:space="preserve">Gợi ý voucher theo từ khóa</t>
  </si>
  <si>
    <t xml:space="preserve">Hệ thống hoạt động bình thường</t>
  </si>
  <si>
    <t xml:space="preserve">message = Sản phẩm này hơi đắt so với mình</t>
  </si>
  <si>
    <t xml:space="preserve">1. Gửi câu hỏi có từ khóa đắt</t>
  </si>
  <si>
    <t xml:space="preserve">Phản hồi kèm gợi ý mã TIGER_PROMO_10 (ngoại lệ 8a)</t>
  </si>
  <si>
    <t xml:space="preserve">Mã 200; voucher = TIGER_PROMO_10. Kịch bản AI-009b xác nhận câu hỏi thông thường không kèm voucher</t>
  </si>
  <si>
    <t xml:space="preserve">Kịch bản AI-009c ghi nhận DEF-10</t>
  </si>
  <si>
    <t xml:space="preserve">AI-010</t>
  </si>
  <si>
    <t xml:space="preserve">Xóa lịch sử hội thoại với trợ lý</t>
  </si>
  <si>
    <t xml:space="preserve">Người dùng có lịch sử hội thoại</t>
  </si>
  <si>
    <t xml:space="preserve">1. Gửi DELETE /api/chat/ai/history
2. Đếm ai_chat_messages và ai_chat_sessions</t>
  </si>
  <si>
    <t xml:space="preserve">Toàn bộ tin nhắn của phiên bị xóa; bản ghi phiên được giữ lại (ngoại lệ 8b)</t>
  </si>
  <si>
    <t xml:space="preserve">Mã 200; ai_chat_messages về 0; ai_chat_sessions vẫn là 1. Kịch bản AI-010b xác nhận lịch sử mới được ghi lại bình thường sau khi xóa</t>
  </si>
  <si>
    <t xml:space="preserve">HR-001</t>
  </si>
  <si>
    <t xml:space="preserve">UC15</t>
  </si>
  <si>
    <t xml:space="preserve">Nhân viên vào ca thành công</t>
  </si>
  <si>
    <t xml:space="preserve">staff@tigershop.test là nhân viên chính thức, không có phiên đang mở</t>
  </si>
  <si>
    <t xml:space="preserve">token của staff</t>
  </si>
  <si>
    <t xml:space="preserve">1. Gửi POST /api/users/attendance/clock-in
2. Truy vấn attendance_sessions</t>
  </si>
  <si>
    <t xml:space="preserve">Mã 201 kèm session_id; phiên mới có status = open, wage_rate đúng theo employment_status (bước 4, 5)</t>
  </si>
  <si>
    <t xml:space="preserve">Mã 201; session_id là số; status = open; check_out_at là NULL; wage_rate = 25000</t>
  </si>
  <si>
    <t xml:space="preserve">HR-002</t>
  </si>
  <si>
    <t xml:space="preserve">Vào ca lần hai khi đang có ca chưa đóng</t>
  </si>
  <si>
    <t xml:space="preserve">Đã vào ca ở HR-001</t>
  </si>
  <si>
    <t xml:space="preserve">1. Gửi lại POST /api/users/attendance/clock-in</t>
  </si>
  <si>
    <t xml:space="preserve">Mã 400 kèm thông báo còn ca làm chưa kết thúc; không tạo phiên thứ hai (ngoại lệ 3a)</t>
  </si>
  <si>
    <t xml:space="preserve">Mã 400, Bạn đang có ca làm chưa check-out</t>
  </si>
  <si>
    <t xml:space="preserve">HR-003</t>
  </si>
  <si>
    <t xml:space="preserve">Tài khoản không phải Nhân viên cố chấm công</t>
  </si>
  <si>
    <t xml:space="preserve">Đăng nhập bằng tài khoản CUSTOMER hoặc MANAGER</t>
  </si>
  <si>
    <t xml:space="preserve">token của customer1 và của manager</t>
  </si>
  <si>
    <t xml:space="preserve">1. Gửi POST /api/users/attendance/clock-in bằng từng token</t>
  </si>
  <si>
    <t xml:space="preserve">Mã 403, thông báo Chỉ Staff được chấm công (ngoại lệ 2a)</t>
  </si>
  <si>
    <t xml:space="preserve">Cả hai tài khoản nhận mã 403 với đúng thông báo</t>
  </si>
  <si>
    <t xml:space="preserve">HR-004</t>
  </si>
  <si>
    <t xml:space="preserve">Nhân viên chưa được duyệt cố chấm công</t>
  </si>
  <si>
    <t xml:space="preserve">Tài khoản STAFF có status khác active</t>
  </si>
  <si>
    <t xml:space="preserve">staff.pending@tigershop.test (status = pending)</t>
  </si>
  <si>
    <t xml:space="preserve">1. Đăng nhập
2. Gửi POST /api/users/attendance/clock-in</t>
  </si>
  <si>
    <t xml:space="preserve">Nhân viên chưa được duyệt không chấm công được, bị chặn với mã 403 (UC15 ngoại lệ 2b; UC02 ngoại lệ 5a)</t>
  </si>
  <si>
    <t xml:space="preserve">Tài khoản bị chặn ngay ở bước đăng nhập với mã 403, thông báo Tài khoản đang chờ duyệt, nên không có token để gọi điểm cuối chấm công. Nhánh kiểm tra Staff chưa active tại điểm cuối chấm công chưa được kích hoạt</t>
  </si>
  <si>
    <t xml:space="preserve">HR-005</t>
  </si>
  <si>
    <t xml:space="preserve">Kết thúc ca và tính số giây làm việc</t>
  </si>
  <si>
    <t xml:space="preserve">Có phiên đang mở từ HR-001</t>
  </si>
  <si>
    <t xml:space="preserve">1. Gửi POST /api/users/attendance/clock-out
2. Truy vấn phiên vừa đóng</t>
  </si>
  <si>
    <t xml:space="preserve">Phiên chuyển sang closed; check_out_at là thời điểm kết thúc ca; worked_seconds tính bằng TIMESTAMPDIFF (bước 7)</t>
  </si>
  <si>
    <t xml:space="preserve">Mã 200; status = closed; check_out_at có giá trị; worked_seconds không âm. Kịch bản không chờ 60 giây như thiết kế nên chưa đối chiếu giá trị cụ thể</t>
  </si>
  <si>
    <t xml:space="preserve">HR-006</t>
  </si>
  <si>
    <t xml:space="preserve">Kết thúc ca khi không có ca nào đang mở</t>
  </si>
  <si>
    <t xml:space="preserve">Đã kết thúc ca ở HR-005</t>
  </si>
  <si>
    <t xml:space="preserve">1. Gửi POST /api/users/attendance/clock-out</t>
  </si>
  <si>
    <t xml:space="preserve">Mã 400 (ngoại lệ 6a)</t>
  </si>
  <si>
    <t xml:space="preserve">Mã 400, Không có ca làm đang mở để check-out</t>
  </si>
  <si>
    <t xml:space="preserve">HR-007</t>
  </si>
  <si>
    <t xml:space="preserve">Đơn giá giờ công theo trạng thái lao động</t>
  </si>
  <si>
    <t xml:space="preserve">Một nhân viên thử việc và một nhân viên chính thức</t>
  </si>
  <si>
    <t xml:space="preserve">probation_hourly_rate = 20000; official_hourly_rate = 25000</t>
  </si>
  <si>
    <t xml:space="preserve">1. Cho staff.probation@tigershop.test vào ca
2. So sánh wage_rate với phiên của HR-001</t>
  </si>
  <si>
    <t xml:space="preserve">Phiên của nhân viên thử việc có wage_rate = 20000; phiên của nhân viên chính thức có wage_rate = 25000 (bước 4)</t>
  </si>
  <si>
    <t xml:space="preserve">Phiên thử việc có wage_rate = 20000; phiên chính thức ở HR-001 có wage_rate = 25000</t>
  </si>
  <si>
    <t xml:space="preserve">HR-008</t>
  </si>
  <si>
    <t xml:space="preserve">UC16</t>
  </si>
  <si>
    <t xml:space="preserve">Nhân viên đăng ký ca làm việc</t>
  </si>
  <si>
    <t xml:space="preserve">Đăng nhập staff@tigershop.test</t>
  </si>
  <si>
    <t xml:space="preserve">shift_date = ngày mai; start_time = 08:00; end_time = 17:00; note = Ca sang</t>
  </si>
  <si>
    <t xml:space="preserve">1. Gửi POST /api/shifts/register
2. Truy vấn shift_registrations</t>
  </si>
  <si>
    <t xml:space="preserve">Bản ghi đăng ký ca được tạo ở trạng thái pending (bước 3)</t>
  </si>
  <si>
    <t xml:space="preserve">Yêu cầu thành công; status = pending. Kịch bản HR-008b xác nhận thiếu trường bắt buộc bị từ chối với mã 400; HR-008c xác nhận nhân viên xem được ca của mình</t>
  </si>
  <si>
    <t xml:space="preserve">HR-009</t>
  </si>
  <si>
    <t xml:space="preserve">Đăng ký ca với giờ kết thúc sớm hơn giờ bắt đầu</t>
  </si>
  <si>
    <t xml:space="preserve">Đăng nhập bằng STAFF</t>
  </si>
  <si>
    <t xml:space="preserve">start_time = 17:00; end_time = 08:00</t>
  </si>
  <si>
    <t xml:space="preserve">1. Nhập khung giờ không hợp lý
2. Nhấn Đăng ký</t>
  </si>
  <si>
    <t xml:space="preserve">Từ chối đăng ký vì giờ kết thúc không sau giờ bắt đầu (ngoại lệ 1a; Hình 1.14)</t>
  </si>
  <si>
    <t xml:space="preserve">Chưa có kết quả; chưa có kịch bản cho trường hợp này</t>
  </si>
  <si>
    <t xml:space="preserve">HR-010</t>
  </si>
  <si>
    <t xml:space="preserve">Quản lý duyệt và từ chối ca làm việc</t>
  </si>
  <si>
    <t xml:space="preserve">Có ca pending từ HR-008; đăng nhập manager@tigershop.test</t>
  </si>
  <si>
    <t xml:space="preserve">status = approved cho ca thứ nhất; status = rejected cho ca thứ hai</t>
  </si>
  <si>
    <t xml:space="preserve">1. Gửi PATCH /api/shifts/:id/status để duyệt
2. Gửi PATCH để từ chối ca thứ hai
3. Truy vấn status và manager_id</t>
  </si>
  <si>
    <t xml:space="preserve">Ca thứ nhất approved, ca thứ hai rejected; cả hai ghi nhận người xử lý (bước 5, 6)</t>
  </si>
  <si>
    <t xml:space="preserve">Ca thứ nhất chuyển approved, manager_id có giá trị. Nhánh từ chối chưa có kịch bản. Kịch bản HR-010b xác nhận nhân viên tự duyệt ca của mình bị chặn với mã 403</t>
  </si>
  <si>
    <t xml:space="preserve">HR-011</t>
  </si>
  <si>
    <t xml:space="preserve">UC17</t>
  </si>
  <si>
    <t xml:space="preserve">Nhân viên gửi đơn xin đi muộn</t>
  </si>
  <si>
    <t xml:space="preserve">request_type = late; request_date = ngày mai; minutes_late = 30; reason = Tac duong</t>
  </si>
  <si>
    <t xml:space="preserve">1. Gửi POST /api/users/staff/requests
2. Truy vấn staff_requests</t>
  </si>
  <si>
    <t xml:space="preserve">Đơn được lưu ở trạng thái pending với đúng số phút đi muộn (bước 2, 4)</t>
  </si>
  <si>
    <t xml:space="preserve">Yêu cầu thành công; request_type = late, minutes_late = 30, status = pending</t>
  </si>
  <si>
    <t xml:space="preserve">HR-012</t>
  </si>
  <si>
    <t xml:space="preserve">Gửi đơn khi bỏ trống lý do</t>
  </si>
  <si>
    <t xml:space="preserve">request_type = leave; reason rỗng</t>
  </si>
  <si>
    <t xml:space="preserve">1. Gửi POST /api/users/staff/requests</t>
  </si>
  <si>
    <t xml:space="preserve">Mã 400, thông báo Thiếu thông tin đơn xin (ngoại lệ 2a)</t>
  </si>
  <si>
    <t xml:space="preserve">Mã 400; nội dung thông báo chưa được kịch bản kiểm tra. Kịch bản HR-012b xác nhận Quản lý duyệt được đơn từ, status chuyển approved (bước 5)</t>
  </si>
  <si>
    <t xml:space="preserve">HR-013</t>
  </si>
  <si>
    <t xml:space="preserve">UC19</t>
  </si>
  <si>
    <t xml:space="preserve">Quản lý xem bảng lương toàn bộ nhân viên</t>
  </si>
  <si>
    <t xml:space="preserve">Có phiên chấm công đã đóng</t>
  </si>
  <si>
    <t xml:space="preserve">token của manager; month = tháng hiện tại</t>
  </si>
  <si>
    <t xml:space="preserve">1. Gửi GET /api/users/staff/payroll?month=YYYY-MM
2. Đối chiếu với truy vấn SQL</t>
  </si>
  <si>
    <t xml:space="preserve">Lương của từng nhân viên bằng tổng worked_seconds chia 3600 nhân wage_rate lưu trong từng phiên (bước 2, 3)</t>
  </si>
  <si>
    <t xml:space="preserve">Mã 200. Số liệu chưa được đối chiếu với truy vấn SQL. Kịch bản HR-013b xác nhận thiếu tham số month bị từ chối với mã 400</t>
  </si>
  <si>
    <t xml:space="preserve">Mức kiểm chứng hạn chế: chỉ kiểm tra mã trạng thái (Bảng 3.37, dòng 1); Thiết kế thủ công, đã thực hiện bằng kịch bản Jest (Bảng 3.4)</t>
  </si>
  <si>
    <t xml:space="preserve">HR-014</t>
  </si>
  <si>
    <t xml:space="preserve">Nhân viên xem bảng lương cá nhân</t>
  </si>
  <si>
    <t xml:space="preserve">Nhân viên có ít nhất 1 phiên chấm công đã đóng</t>
  </si>
  <si>
    <t xml:space="preserve">token của staff; month = tháng hiện tại</t>
  </si>
  <si>
    <t xml:space="preserve">1. Gửi GET /api/users/staff/payroll/me?month=YYYY-MM</t>
  </si>
  <si>
    <t xml:space="preserve">Chỉ có dữ liệu của chính nhân viên đó, kèm chi tiết từng phiên (bước 5)</t>
  </si>
  <si>
    <t xml:space="preserve">Mã 200. Nội dung chưa được đối chiếu</t>
  </si>
  <si>
    <t xml:space="preserve">HR-015</t>
  </si>
  <si>
    <t xml:space="preserve">Nhân viên cố xem bảng lương toàn bộ</t>
  </si>
  <si>
    <t xml:space="preserve">1. Gửi GET /api/users/staff/payroll?month=YYYY-MM</t>
  </si>
  <si>
    <t xml:space="preserve">Từ chối với mã 403; nhân viên chỉ xem được bảng lương của mình (ngoại lệ 5a)</t>
  </si>
  <si>
    <t xml:space="preserve">ADM-001</t>
  </si>
  <si>
    <t xml:space="preserve">UC18</t>
  </si>
  <si>
    <t xml:space="preserve">Duyệt tài khoản nhân viên đang chờ</t>
  </si>
  <si>
    <t xml:space="preserve">staff.pending@tigershop.test có status = pending</t>
  </si>
  <si>
    <t xml:space="preserve">token của admin; token của manager</t>
  </si>
  <si>
    <t xml:space="preserve">1. Gửi PATCH /api/users/staff/:id/approve bằng token của Quản trị viên
2. Gửi cùng yêu cầu bằng token của Quản lý (kịch bản ADM-001b)</t>
  </si>
  <si>
    <t xml:space="preserve">Quản trị viên duyệt được: tài khoản chuyển active, nhân viên bắt đầu ở trạng thái thử việc (bước 4). Quản lý bị từ chối với mã 403, thông báo Chỉ Admin mới được duyệt tài khoản (ngoại lệ 4b)</t>
  </si>
  <si>
    <t xml:space="preserve">Token Quản trị viên: yêu cầu thành công, status = active. Token Quản lý: mã 403 với đúng thông báo. Giá trị employment_status sau khi duyệt chưa được kiểm tra</t>
  </si>
  <si>
    <t xml:space="preserve">Kịch bản ADM-001b ghi nhận DEF-05 (phân quyền đặt ở hai nơi); Mức kiểm chứng hạn chế: chỉ kiểm tra một phần kết quả mong đợi (Bảng 3.37, dòng 2)</t>
  </si>
  <si>
    <t xml:space="preserve">ADM-002</t>
  </si>
  <si>
    <t xml:space="preserve">Chuyển nhân viên từ thử việc sang chính thức</t>
  </si>
  <si>
    <t xml:space="preserve">staff.probation@tigershop.test đang thử việc</t>
  </si>
  <si>
    <t xml:space="preserve">token của manager</t>
  </si>
  <si>
    <t xml:space="preserve">1. Gửi PATCH /api/users/staff/:id/official
2. Truy vấn employment_status và official_at</t>
  </si>
  <si>
    <t xml:space="preserve">employment_status chuyển official; official_at được ghi nhận; các phiên chấm công sau đó dùng official_hourly_rate (bước 5)</t>
  </si>
  <si>
    <t xml:space="preserve">Yêu cầu thành công; employment_status = official; official_at có giá trị. Việc vào ca lại với đơn giá mới chưa được kiểm tra</t>
  </si>
  <si>
    <t xml:space="preserve">ADM-003</t>
  </si>
  <si>
    <t xml:space="preserve">UC23</t>
  </si>
  <si>
    <t xml:space="preserve">Quản trị viên thay đổi vai trò người dùng</t>
  </si>
  <si>
    <t xml:space="preserve">Đăng nhập admin@tigershop.test</t>
  </si>
  <si>
    <t xml:space="preserve">Tài khoản customer2; role_id = 3</t>
  </si>
  <si>
    <t xml:space="preserve">1. Gửi PUT /api/users/:id/role
2. Truy vấn role_id
3. Đăng nhập lại bằng tài khoản đó</t>
  </si>
  <si>
    <t xml:space="preserve">role_id được cập nhật (bước 3, 4); sau khi đăng nhập lại, người dùng vào không gian làm việc của vai trò mới</t>
  </si>
  <si>
    <t xml:space="preserve">Yêu cầu thành công; role_id = 3. Phần đăng nhập lại và chuyển trang chưa kiểm chứng</t>
  </si>
  <si>
    <t xml:space="preserve">ADM-004</t>
  </si>
  <si>
    <t xml:space="preserve">Quản trị viên khóa tài khoản người dùng</t>
  </si>
  <si>
    <t xml:space="preserve">Đăng nhập bằng ADMIN, tồn tại tài khoản đang hoạt động</t>
  </si>
  <si>
    <t xml:space="preserve">Tài khoản customer1; is_active = 0</t>
  </si>
  <si>
    <t xml:space="preserve">1. Gửi PUT /api/users/:id/status
2. Dùng token cũ của customer1 gọi GET /api/users/me</t>
  </si>
  <si>
    <t xml:space="preserve">Người bị khóa nhận mã 403 ngay ở lần gọi kế tiếp dù token còn hạn (ngoại lệ 3a)</t>
  </si>
  <si>
    <t xml:space="preserve">Trước khi khóa mã 200; sau khi khóa mã 403</t>
  </si>
  <si>
    <t xml:space="preserve">Quản trị viên đặt lại mật khẩu cho người dùng</t>
  </si>
  <si>
    <t xml:space="preserve">Tài khoản customer2; đặt lại hai lần liên tiếp (kịch bản ADM-005 và ADM-005b), mỗi lần gửi kèm một giá trị newPassword khác nhau</t>
  </si>
  <si>
    <t xml:space="preserve">1. Gửi POST /api/users/:id/reset-password
2. Kiểm tra cột password và nội dung phản hồi
3. Lặp lại lần hai và so sánh</t>
  </si>
  <si>
    <t xml:space="preserve">Mỗi lần đặt lại, hệ thống sinh một mật khẩu tạm thời riêng, băm bằng bcrypt và không trả mật khẩu dạng rõ trong phản hồi (ngoại lệ 3b; mục 1.3.3)</t>
  </si>
  <si>
    <t xml:space="preserve">Cột password là chuỗi băm bcrypt, nhưng cả hai lần đều là cùng một hằng số: bcrypt.compare với tiger@123 trả về true. Nội dung phản hồi chứa nguyên văn tiger@123; giá trị gửi lên bị bỏ qua</t>
  </si>
  <si>
    <t xml:space="preserve">Khiếm khuyết DEF-06, trùng VUL-02, mức Nghiêm trọng (Bảng 3.36)</t>
  </si>
  <si>
    <t xml:space="preserve">ADM-006</t>
  </si>
  <si>
    <t xml:space="preserve">Xóa mềm và khôi phục tài khoản</t>
  </si>
  <si>
    <t xml:space="preserve">Đăng nhập bằng ADMIN</t>
  </si>
  <si>
    <t xml:space="preserve">Tài khoản customer2</t>
  </si>
  <si>
    <t xml:space="preserve">1. Gửi DELETE /api/users/:id
2. Truy vấn deleted_at
3. Gửi PATCH /api/users/:id/restore</t>
  </si>
  <si>
    <t xml:space="preserve">Sau khi xóa: deleted_at được gán, tài khoản không còn trong danh sách; sau khi khôi phục: deleted_at trở về NULL (ngoại lệ 3c)</t>
  </si>
  <si>
    <t xml:space="preserve">Cả hai thao tác thành công; deleted_at có giá trị rồi trở về NULL. Danh sách người dùng chưa được đối chiếu</t>
  </si>
  <si>
    <t xml:space="preserve">ADM-007</t>
  </si>
  <si>
    <t xml:space="preserve">Khách hàng cố gọi điểm cuối quản trị người dùng</t>
  </si>
  <si>
    <t xml:space="preserve">Đăng nhập bằng CUSTOMER</t>
  </si>
  <si>
    <t xml:space="preserve">1. Gửi GET /api/users
2. Gửi PUT /api/users/:id/role với role_id = 1</t>
  </si>
  <si>
    <t xml:space="preserve">Cả hai yêu cầu bị từ chối với mã 403 (ngoại lệ 3f); phân quyền được kiểm tra ở máy chủ</t>
  </si>
  <si>
    <t xml:space="preserve">Cả hai nhận mã 403; role_id của tài khoản đích vẫn là 3, không bị leo thang đặc quyền</t>
  </si>
  <si>
    <t xml:space="preserve">ADM-008</t>
  </si>
  <si>
    <t xml:space="preserve">UC24</t>
  </si>
  <si>
    <t xml:space="preserve">Xem thống kê sản phẩm bán chạy (UC24)</t>
  </si>
  <si>
    <t xml:space="preserve">Có đơn completed trong dữ liệu mẫu</t>
  </si>
  <si>
    <t xml:space="preserve">token của admin</t>
  </si>
  <si>
    <t xml:space="preserve">1. Gửi GET /api/orders/admin/best-selling
2. Đối chiếu với truy vấn SQL chỉ lấy đơn completed</t>
  </si>
  <si>
    <t xml:space="preserve">Số liệu khớp với dữ liệu tổng hợp trực tiếp từ các bảng orders, order_items, products; chỉ tính đơn completed (bước 2)</t>
  </si>
  <si>
    <t xml:space="preserve">Mã 200; danh sách mã sản phẩm và thứ tự trùng khớp kết quả truy vấn SQL. Kịch bản ADM-008b xác nhận nhân viên bị chặn với mã 403 ở điểm cuối thống kê doanh thu (ngoại lệ 1a)</t>
  </si>
  <si>
    <t xml:space="preserve">ADM-009</t>
  </si>
  <si>
    <t xml:space="preserve">UC25</t>
  </si>
  <si>
    <t xml:space="preserve">Quản trị viên xem nhật ký thao tác (UC25)</t>
  </si>
  <si>
    <t xml:space="preserve">Đã có thao tác quản trị trước đó</t>
  </si>
  <si>
    <t xml:space="preserve">1. Gửi GET /api/users/logs</t>
  </si>
  <si>
    <t xml:space="preserve">Hiển thị hành động, người thực hiện, đối tượng tác động và thời điểm, theo thời gian giảm dần (bước 2, 3)</t>
  </si>
  <si>
    <t xml:space="preserve">Mã 200. Nội dung từng bản ghi nhật ký chưa được đối chiếu</t>
  </si>
  <si>
    <t xml:space="preserve">ADM-010</t>
  </si>
  <si>
    <t xml:space="preserve">Người dùng không phải Quản trị viên xem nhật ký (UC25)</t>
  </si>
  <si>
    <t xml:space="preserve">Đăng nhập bằng CUSTOMER hoặc STAFF</t>
  </si>
  <si>
    <t xml:space="preserve">token của customer1 và của staff</t>
  </si>
  <si>
    <t xml:space="preserve">1. Gửi GET /api/users/logs bằng từng token</t>
  </si>
  <si>
    <t xml:space="preserve">Mã 403; không lộ bản ghi nhật ký nào (ngoại lệ 1a)</t>
  </si>
  <si>
    <t xml:space="preserve">Cả hai nhận mã 403; phản hồi không chứa mảng nhật ký</t>
  </si>
  <si>
    <t xml:space="preserve">MA TRẬN TRUY VẾT GIỮA USE CASE VÀ TEST CASE (Bảng 3.32)</t>
  </si>
  <si>
    <t xml:space="preserve">Mã UC</t>
  </si>
  <si>
    <t xml:space="preserve">Số test case</t>
  </si>
  <si>
    <t xml:space="preserve">Danh sách mã test case</t>
  </si>
  <si>
    <t xml:space="preserve">AUTH-001, AUTH-002, AUTH-003, AUTH-004, AUTH-005, AUTH-006, AUTH-007, AUTH-008, AUTH-009, AUTH-010, AUTH-011</t>
  </si>
  <si>
    <t xml:space="preserve">AUTH-006 không đạt (DEF-12)</t>
  </si>
  <si>
    <t xml:space="preserve">AUTH-012, AUTH-013, AUTH-014, AUTH-015, AUTH-016, AUTH-017, AUTH-018, AUTH-019</t>
  </si>
  <si>
    <t xml:space="preserve">AUTH-020, AUTH-021, AUTH-022</t>
  </si>
  <si>
    <t xml:space="preserve">AUTH-023, AUTH-024, AUTH-025</t>
  </si>
  <si>
    <t xml:space="preserve">PROD-001, PROD-002, PROD-003, PROD-004, PROD-005, PROD-006, PROD-007</t>
  </si>
  <si>
    <t xml:space="preserve">ORD-001, ORD-002, ORD-003, ORD-004, ORD-005</t>
  </si>
  <si>
    <t xml:space="preserve">Chưa thực hiện test case nào; UC06 không có API theo đặc tả</t>
  </si>
  <si>
    <t xml:space="preserve">ORD-006, ORD-007, ORD-008, ORD-009, ORD-010, ORD-011, ORD-012, ORD-013, ORD-014, ORD-015, VOUC-011, VOUC-012</t>
  </si>
  <si>
    <t xml:space="preserve">ORD-016, ORD-017, ORD-018, ORD-019, ORD-020</t>
  </si>
  <si>
    <t xml:space="preserve">REV-001, REV-002, REV-003, REV-004, REV-005, REV-006, REV-007, REV-008</t>
  </si>
  <si>
    <t xml:space="preserve">VOUC-001, VOUC-002, VOUC-003, VOUC-004, VOUC-005, VOUC-006, VOUC-007, VOUC-008, VOUC-009, VOUC-010</t>
  </si>
  <si>
    <t xml:space="preserve">ORD-021, ORD-022</t>
  </si>
  <si>
    <t xml:space="preserve">ORD-022 không đạt (DEF-11)</t>
  </si>
  <si>
    <t xml:space="preserve">PROD-008, PROD-009, PROD-010, PROD-011, PROD-012, PROD-013, PROD-014, PROD-015, PROD-016</t>
  </si>
  <si>
    <t xml:space="preserve">PROD-008 không đạt (DEF-02)</t>
  </si>
  <si>
    <t xml:space="preserve">PROD-017, PROD-018, PROD-019, PROD-020</t>
  </si>
  <si>
    <t xml:space="preserve">PROD-021, PROD-022</t>
  </si>
  <si>
    <t xml:space="preserve">HR-001, HR-002, HR-003, HR-004, HR-005, HR-006, HR-007</t>
  </si>
  <si>
    <t xml:space="preserve">HR-008, HR-009, HR-010</t>
  </si>
  <si>
    <t xml:space="preserve">HR-011, HR-012</t>
  </si>
  <si>
    <t xml:space="preserve">ADM-001, ADM-002</t>
  </si>
  <si>
    <t xml:space="preserve">HR-013, HR-014, HR-015</t>
  </si>
  <si>
    <t xml:space="preserve">AI-001, AI-002, AI-003, AI-004, AI-005, AI-006, AI-007, AI-008, AI-009, AI-010</t>
  </si>
  <si>
    <t xml:space="preserve">AI-008 không đạt (PERF-03)</t>
  </si>
  <si>
    <t xml:space="preserve">CHAT-001, CHAT-002, CHAT-003, CHAT-004, CHAT-005, CHAT-006, CHAT-007, CHAT-008, CHAT-009</t>
  </si>
  <si>
    <t xml:space="preserve">CHAT-009 không đạt (DEF-08)</t>
  </si>
  <si>
    <t xml:space="preserve">CHAT-010, CHAT-011</t>
  </si>
  <si>
    <t xml:space="preserve">ADM-003, ADM-004, ADM-005, ADM-006, ADM-007</t>
  </si>
  <si>
    <t xml:space="preserve">ADM-005 không đạt (DEF-06)</t>
  </si>
  <si>
    <t xml:space="preserve">ADM-009, ADM-010</t>
  </si>
  <si>
    <t xml:space="preserve">Tổng</t>
  </si>
</sst>
</file>

<file path=xl/styles.xml><?xml version="1.0" encoding="utf-8"?>
<styleSheet xmlns="http://schemas.openxmlformats.org/spreadsheetml/2006/main">
  <numFmts count="3">
    <numFmt numFmtId="164" formatCode="General"/>
    <numFmt numFmtId="165" formatCode="0.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Times New Roman"/>
      <family val="0"/>
      <charset val="1"/>
    </font>
    <font>
      <i val="true"/>
      <sz val="11"/>
      <name val="Times New Roman"/>
      <family val="0"/>
      <charset val="1"/>
    </font>
    <font>
      <b val="true"/>
      <sz val="12"/>
      <color rgb="FF1F3864"/>
      <name val="Times New Roman"/>
      <family val="0"/>
      <charset val="1"/>
    </font>
    <font>
      <b val="true"/>
      <sz val="11"/>
      <color rgb="FFFFFFFF"/>
      <name val="Times New Roman"/>
      <family val="0"/>
      <charset val="1"/>
    </font>
    <font>
      <sz val="11"/>
      <name val="Times New Roman"/>
      <family val="0"/>
      <charset val="1"/>
    </font>
    <font>
      <b val="true"/>
      <sz val="11"/>
      <name val="Times New Roman"/>
      <family val="0"/>
      <charset val="1"/>
    </font>
    <font>
      <sz val="11"/>
      <color rgb="FF006100"/>
      <name val="Times New Roman"/>
      <family val="0"/>
      <charset val="1"/>
    </font>
    <font>
      <b val="true"/>
      <sz val="11"/>
      <color rgb="FF9C0006"/>
      <name val="Times New Roman"/>
      <family val="0"/>
      <charset val="1"/>
    </font>
  </fonts>
  <fills count="10">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E2EFDA"/>
        <bgColor rgb="FFD9E2F3"/>
      </patternFill>
    </fill>
    <fill>
      <patternFill patternType="solid">
        <fgColor rgb="FFFCE4D6"/>
        <bgColor rgb="FFFADBD8"/>
      </patternFill>
    </fill>
    <fill>
      <patternFill patternType="solid">
        <fgColor rgb="FFFFF2CC"/>
        <bgColor rgb="FFFCE4D6"/>
      </patternFill>
    </fill>
    <fill>
      <patternFill patternType="solid">
        <fgColor rgb="FFFADBD8"/>
        <bgColor rgb="FFFCE4D6"/>
      </patternFill>
    </fill>
    <fill>
      <patternFill patternType="solid">
        <fgColor rgb="FFC6EFCE"/>
        <bgColor rgb="FFE2EFDA"/>
      </patternFill>
    </fill>
    <fill>
      <patternFill patternType="solid">
        <fgColor rgb="FFFFC7CE"/>
        <bgColor rgb="FFFADBD8"/>
      </patternFill>
    </fill>
  </fills>
  <borders count="2">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ADBD8"/>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4C6E7"/>
      <rgbColor rgb="FF808080"/>
      <rgbColor rgb="FF9999FF"/>
      <rgbColor rgb="FF993366"/>
      <rgbColor rgb="FFFFF2CC"/>
      <rgbColor rgb="FFE2EFD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ADBD8"/>
      <rgbColor rgb="FFC6EFCE"/>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0"/>
    <col collapsed="false" customWidth="true" hidden="false" outlineLevel="0" max="5" min="5" style="0" width="12"/>
    <col collapsed="false" customWidth="true" hidden="false" outlineLevel="0" max="7" min="6" style="0" width="9"/>
    <col collapsed="false" customWidth="true" hidden="false" outlineLevel="0" max="8" min="8" style="0" width="10"/>
    <col collapsed="false" customWidth="true" hidden="false" outlineLevel="0" max="9" min="9" style="0" width="13"/>
    <col collapsed="false" customWidth="true" hidden="false" outlineLevel="0" max="10" min="10" style="0" width="16"/>
  </cols>
  <sheetData>
    <row r="1" customFormat="false" ht="17.35" hidden="false" customHeight="fals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3" customFormat="false" ht="45" hidden="false" customHeight="true" outlineLevel="0" collapsed="false">
      <c r="A3" s="3" t="s">
        <v>2</v>
      </c>
      <c r="B3" s="3"/>
      <c r="C3" s="3"/>
      <c r="D3" s="3"/>
      <c r="E3" s="3"/>
      <c r="F3" s="3"/>
      <c r="G3" s="3"/>
      <c r="H3" s="3"/>
      <c r="I3" s="3"/>
      <c r="J3" s="3"/>
    </row>
    <row r="5" customFormat="false" ht="15" hidden="false" customHeight="false" outlineLevel="0" collapsed="false">
      <c r="A5" s="4" t="s">
        <v>3</v>
      </c>
      <c r="B5" s="4"/>
      <c r="C5" s="4"/>
      <c r="D5" s="4"/>
      <c r="E5" s="4"/>
      <c r="F5" s="4"/>
      <c r="G5" s="4"/>
      <c r="H5" s="4"/>
      <c r="I5" s="4"/>
      <c r="J5" s="4"/>
    </row>
    <row r="6" customFormat="false" ht="45" hidden="false" customHeight="true" outlineLevel="0" collapsed="false">
      <c r="A6" s="5" t="s">
        <v>4</v>
      </c>
      <c r="B6" s="5" t="s">
        <v>5</v>
      </c>
      <c r="C6" s="5" t="s">
        <v>6</v>
      </c>
      <c r="D6" s="5" t="s">
        <v>7</v>
      </c>
      <c r="E6" s="5" t="s">
        <v>8</v>
      </c>
      <c r="F6" s="5" t="s">
        <v>9</v>
      </c>
      <c r="G6" s="5" t="s">
        <v>10</v>
      </c>
      <c r="H6" s="5" t="s">
        <v>11</v>
      </c>
      <c r="I6" s="5" t="s">
        <v>12</v>
      </c>
      <c r="J6" s="5" t="s">
        <v>13</v>
      </c>
    </row>
    <row r="7" customFormat="false" ht="15" hidden="false" customHeight="false" outlineLevel="0" collapsed="false">
      <c r="A7" s="6" t="n">
        <v>1</v>
      </c>
      <c r="B7" s="6" t="s">
        <v>14</v>
      </c>
      <c r="C7" s="7" t="s">
        <v>15</v>
      </c>
      <c r="D7" s="6" t="n">
        <f aca="false">COUNTA(AUTH!A:A)-1</f>
        <v>25</v>
      </c>
      <c r="E7" s="6" t="n">
        <f aca="false">F7+G7</f>
        <v>20</v>
      </c>
      <c r="F7" s="6" t="n">
        <f aca="false">COUNTIF(AUTH!M:M,"Pass")</f>
        <v>19</v>
      </c>
      <c r="G7" s="6" t="n">
        <f aca="false">COUNTIF(AUTH!M:M,"Fail")</f>
        <v>1</v>
      </c>
      <c r="H7" s="6" t="n">
        <f aca="false">COUNTIF(AUTH!M:M,"Blocked")</f>
        <v>0</v>
      </c>
      <c r="I7" s="6" t="n">
        <f aca="false">COUNTIF(AUTH!M:M,"Chưa thực hiện")</f>
        <v>5</v>
      </c>
      <c r="J7" s="8" t="n">
        <f aca="false">IF(E7=0,0,F7/E7)</f>
        <v>0.95</v>
      </c>
    </row>
    <row r="8" customFormat="false" ht="15" hidden="false" customHeight="false" outlineLevel="0" collapsed="false">
      <c r="A8" s="6" t="n">
        <v>2</v>
      </c>
      <c r="B8" s="6" t="s">
        <v>16</v>
      </c>
      <c r="C8" s="7" t="s">
        <v>17</v>
      </c>
      <c r="D8" s="6" t="n">
        <f aca="false">COUNTA(PROD!A:A)-1</f>
        <v>22</v>
      </c>
      <c r="E8" s="6" t="n">
        <f aca="false">F8+G8</f>
        <v>19</v>
      </c>
      <c r="F8" s="6" t="n">
        <f aca="false">COUNTIF(PROD!M:M,"Pass")</f>
        <v>18</v>
      </c>
      <c r="G8" s="6" t="n">
        <f aca="false">COUNTIF(PROD!M:M,"Fail")</f>
        <v>1</v>
      </c>
      <c r="H8" s="6" t="n">
        <f aca="false">COUNTIF(PROD!M:M,"Blocked")</f>
        <v>0</v>
      </c>
      <c r="I8" s="6" t="n">
        <f aca="false">COUNTIF(PROD!M:M,"Chưa thực hiện")</f>
        <v>3</v>
      </c>
      <c r="J8" s="8" t="n">
        <f aca="false">IF(E8=0,0,F8/E8)</f>
        <v>0.947368421052632</v>
      </c>
    </row>
    <row r="9" customFormat="false" ht="15" hidden="false" customHeight="false" outlineLevel="0" collapsed="false">
      <c r="A9" s="6" t="n">
        <v>3</v>
      </c>
      <c r="B9" s="6" t="s">
        <v>18</v>
      </c>
      <c r="C9" s="7" t="s">
        <v>19</v>
      </c>
      <c r="D9" s="6" t="n">
        <f aca="false">COUNTA(ORD!A:A)-1</f>
        <v>22</v>
      </c>
      <c r="E9" s="6" t="n">
        <f aca="false">F9+G9</f>
        <v>15</v>
      </c>
      <c r="F9" s="6" t="n">
        <f aca="false">COUNTIF(ORD!M:M,"Pass")</f>
        <v>14</v>
      </c>
      <c r="G9" s="6" t="n">
        <f aca="false">COUNTIF(ORD!M:M,"Fail")</f>
        <v>1</v>
      </c>
      <c r="H9" s="6" t="n">
        <f aca="false">COUNTIF(ORD!M:M,"Blocked")</f>
        <v>0</v>
      </c>
      <c r="I9" s="6" t="n">
        <f aca="false">COUNTIF(ORD!M:M,"Chưa thực hiện")</f>
        <v>7</v>
      </c>
      <c r="J9" s="8" t="n">
        <f aca="false">IF(E9=0,0,F9/E9)</f>
        <v>0.933333333333333</v>
      </c>
    </row>
    <row r="10" customFormat="false" ht="15" hidden="false" customHeight="false" outlineLevel="0" collapsed="false">
      <c r="A10" s="6" t="n">
        <v>4</v>
      </c>
      <c r="B10" s="6" t="s">
        <v>20</v>
      </c>
      <c r="C10" s="7" t="s">
        <v>21</v>
      </c>
      <c r="D10" s="6" t="n">
        <f aca="false">COUNTA(VOUC!A:A)-1</f>
        <v>12</v>
      </c>
      <c r="E10" s="6" t="n">
        <f aca="false">F10+G10</f>
        <v>12</v>
      </c>
      <c r="F10" s="6" t="n">
        <f aca="false">COUNTIF(VOUC!M:M,"Pass")</f>
        <v>12</v>
      </c>
      <c r="G10" s="6" t="n">
        <f aca="false">COUNTIF(VOUC!M:M,"Fail")</f>
        <v>0</v>
      </c>
      <c r="H10" s="6" t="n">
        <f aca="false">COUNTIF(VOUC!M:M,"Blocked")</f>
        <v>0</v>
      </c>
      <c r="I10" s="6" t="n">
        <f aca="false">COUNTIF(VOUC!M:M,"Chưa thực hiện")</f>
        <v>0</v>
      </c>
      <c r="J10" s="8" t="n">
        <f aca="false">IF(E10=0,0,F10/E10)</f>
        <v>1</v>
      </c>
    </row>
    <row r="11" customFormat="false" ht="15" hidden="false" customHeight="false" outlineLevel="0" collapsed="false">
      <c r="A11" s="6" t="n">
        <v>5</v>
      </c>
      <c r="B11" s="6" t="s">
        <v>22</v>
      </c>
      <c r="C11" s="7" t="s">
        <v>23</v>
      </c>
      <c r="D11" s="6" t="n">
        <f aca="false">COUNTA(REV!A:A)-1</f>
        <v>8</v>
      </c>
      <c r="E11" s="6" t="n">
        <f aca="false">F11+G11</f>
        <v>8</v>
      </c>
      <c r="F11" s="6" t="n">
        <f aca="false">COUNTIF(REV!M:M,"Pass")</f>
        <v>8</v>
      </c>
      <c r="G11" s="6" t="n">
        <f aca="false">COUNTIF(REV!M:M,"Fail")</f>
        <v>0</v>
      </c>
      <c r="H11" s="6" t="n">
        <f aca="false">COUNTIF(REV!M:M,"Blocked")</f>
        <v>0</v>
      </c>
      <c r="I11" s="6" t="n">
        <f aca="false">COUNTIF(REV!M:M,"Chưa thực hiện")</f>
        <v>0</v>
      </c>
      <c r="J11" s="8" t="n">
        <f aca="false">IF(E11=0,0,F11/E11)</f>
        <v>1</v>
      </c>
    </row>
    <row r="12" customFormat="false" ht="15" hidden="false" customHeight="false" outlineLevel="0" collapsed="false">
      <c r="A12" s="6" t="n">
        <v>6</v>
      </c>
      <c r="B12" s="6" t="s">
        <v>24</v>
      </c>
      <c r="C12" s="7" t="s">
        <v>25</v>
      </c>
      <c r="D12" s="6" t="n">
        <f aca="false">COUNTA(CHAT!A:A)-1</f>
        <v>11</v>
      </c>
      <c r="E12" s="6" t="n">
        <f aca="false">F12+G12</f>
        <v>6</v>
      </c>
      <c r="F12" s="6" t="n">
        <f aca="false">COUNTIF(CHAT!M:M,"Pass")</f>
        <v>5</v>
      </c>
      <c r="G12" s="6" t="n">
        <f aca="false">COUNTIF(CHAT!M:M,"Fail")</f>
        <v>1</v>
      </c>
      <c r="H12" s="6" t="n">
        <f aca="false">COUNTIF(CHAT!M:M,"Blocked")</f>
        <v>0</v>
      </c>
      <c r="I12" s="6" t="n">
        <f aca="false">COUNTIF(CHAT!M:M,"Chưa thực hiện")</f>
        <v>5</v>
      </c>
      <c r="J12" s="8" t="n">
        <f aca="false">IF(E12=0,0,F12/E12)</f>
        <v>0.833333333333333</v>
      </c>
    </row>
    <row r="13" customFormat="false" ht="15" hidden="false" customHeight="false" outlineLevel="0" collapsed="false">
      <c r="A13" s="6" t="n">
        <v>7</v>
      </c>
      <c r="B13" s="6" t="s">
        <v>26</v>
      </c>
      <c r="C13" s="7" t="s">
        <v>27</v>
      </c>
      <c r="D13" s="6" t="n">
        <f aca="false">COUNTA(AI!A:A)-1</f>
        <v>10</v>
      </c>
      <c r="E13" s="6" t="n">
        <f aca="false">F13+G13</f>
        <v>9</v>
      </c>
      <c r="F13" s="6" t="n">
        <f aca="false">COUNTIF(AI!M:M,"Pass")</f>
        <v>8</v>
      </c>
      <c r="G13" s="6" t="n">
        <f aca="false">COUNTIF(AI!M:M,"Fail")</f>
        <v>1</v>
      </c>
      <c r="H13" s="6" t="n">
        <f aca="false">COUNTIF(AI!M:M,"Blocked")</f>
        <v>0</v>
      </c>
      <c r="I13" s="6" t="n">
        <f aca="false">COUNTIF(AI!M:M,"Chưa thực hiện")</f>
        <v>1</v>
      </c>
      <c r="J13" s="8" t="n">
        <f aca="false">IF(E13=0,0,F13/E13)</f>
        <v>0.888888888888889</v>
      </c>
    </row>
    <row r="14" customFormat="false" ht="15" hidden="false" customHeight="false" outlineLevel="0" collapsed="false">
      <c r="A14" s="6" t="n">
        <v>8</v>
      </c>
      <c r="B14" s="6" t="s">
        <v>28</v>
      </c>
      <c r="C14" s="7" t="s">
        <v>29</v>
      </c>
      <c r="D14" s="6" t="n">
        <f aca="false">COUNTA(HR!A:A)-1</f>
        <v>15</v>
      </c>
      <c r="E14" s="6" t="n">
        <f aca="false">F14+G14</f>
        <v>14</v>
      </c>
      <c r="F14" s="6" t="n">
        <f aca="false">COUNTIF(HR!M:M,"Pass")</f>
        <v>14</v>
      </c>
      <c r="G14" s="6" t="n">
        <f aca="false">COUNTIF(HR!M:M,"Fail")</f>
        <v>0</v>
      </c>
      <c r="H14" s="6" t="n">
        <f aca="false">COUNTIF(HR!M:M,"Blocked")</f>
        <v>0</v>
      </c>
      <c r="I14" s="6" t="n">
        <f aca="false">COUNTIF(HR!M:M,"Chưa thực hiện")</f>
        <v>1</v>
      </c>
      <c r="J14" s="8" t="n">
        <f aca="false">IF(E14=0,0,F14/E14)</f>
        <v>1</v>
      </c>
    </row>
    <row r="15" customFormat="false" ht="15" hidden="false" customHeight="false" outlineLevel="0" collapsed="false">
      <c r="A15" s="6" t="n">
        <v>9</v>
      </c>
      <c r="B15" s="6" t="s">
        <v>30</v>
      </c>
      <c r="C15" s="7" t="s">
        <v>31</v>
      </c>
      <c r="D15" s="6" t="n">
        <f aca="false">COUNTA(ADM!A:A)-1</f>
        <v>10</v>
      </c>
      <c r="E15" s="6" t="n">
        <f aca="false">F15+G15</f>
        <v>10</v>
      </c>
      <c r="F15" s="6" t="n">
        <f aca="false">COUNTIF(ADM!M:M,"Pass")</f>
        <v>9</v>
      </c>
      <c r="G15" s="6" t="n">
        <f aca="false">COUNTIF(ADM!M:M,"Fail")</f>
        <v>1</v>
      </c>
      <c r="H15" s="6" t="n">
        <f aca="false">COUNTIF(ADM!M:M,"Blocked")</f>
        <v>0</v>
      </c>
      <c r="I15" s="6" t="n">
        <f aca="false">COUNTIF(ADM!M:M,"Chưa thực hiện")</f>
        <v>0</v>
      </c>
      <c r="J15" s="8" t="n">
        <f aca="false">IF(E15=0,0,F15/E15)</f>
        <v>0.9</v>
      </c>
    </row>
    <row r="16" customFormat="false" ht="15" hidden="false" customHeight="false" outlineLevel="0" collapsed="false">
      <c r="A16" s="9"/>
      <c r="B16" s="9"/>
      <c r="C16" s="9" t="s">
        <v>32</v>
      </c>
      <c r="D16" s="9" t="n">
        <f aca="false">SUM(D7:D15)</f>
        <v>135</v>
      </c>
      <c r="E16" s="9" t="n">
        <f aca="false">SUM(E7:E15)</f>
        <v>113</v>
      </c>
      <c r="F16" s="9" t="n">
        <f aca="false">SUM(F7:F15)</f>
        <v>107</v>
      </c>
      <c r="G16" s="9" t="n">
        <f aca="false">SUM(G7:G15)</f>
        <v>6</v>
      </c>
      <c r="H16" s="9" t="n">
        <f aca="false">SUM(H7:H15)</f>
        <v>0</v>
      </c>
      <c r="I16" s="9" t="n">
        <f aca="false">SUM(I7:I15)</f>
        <v>22</v>
      </c>
      <c r="J16" s="10" t="n">
        <f aca="false">IF(E16=0,0,F16/E16)</f>
        <v>0.946902654867257</v>
      </c>
    </row>
    <row r="17" customFormat="false" ht="15" hidden="false" customHeight="false" outlineLevel="0" collapsed="false">
      <c r="C17" s="11" t="s">
        <v>33</v>
      </c>
      <c r="D17" s="12" t="str">
        <f aca="false">IF(D16=F16+G16+H16+I16,"Khớp","Lệch")</f>
        <v>Khớp</v>
      </c>
    </row>
    <row r="19" customFormat="false" ht="15" hidden="false" customHeight="false" outlineLevel="0" collapsed="false">
      <c r="A19" s="4" t="s">
        <v>34</v>
      </c>
      <c r="B19" s="4"/>
      <c r="C19" s="4"/>
      <c r="D19" s="4"/>
      <c r="E19" s="4"/>
      <c r="F19" s="4"/>
      <c r="G19" s="4"/>
      <c r="H19" s="4"/>
      <c r="I19" s="4"/>
      <c r="J19" s="4"/>
    </row>
    <row r="20" customFormat="false" ht="31.5" hidden="false" customHeight="true" outlineLevel="0" collapsed="false">
      <c r="A20" s="5" t="s">
        <v>4</v>
      </c>
      <c r="B20" s="5" t="s">
        <v>35</v>
      </c>
      <c r="C20" s="5"/>
      <c r="D20" s="5" t="s">
        <v>36</v>
      </c>
      <c r="E20" s="5" t="s">
        <v>37</v>
      </c>
      <c r="F20" s="5" t="s">
        <v>38</v>
      </c>
    </row>
    <row r="21" customFormat="false" ht="15" hidden="false" customHeight="true" outlineLevel="0" collapsed="false">
      <c r="A21" s="6" t="n">
        <v>1</v>
      </c>
      <c r="B21" s="13" t="s">
        <v>39</v>
      </c>
      <c r="C21" s="13"/>
      <c r="D21" s="8" t="n">
        <f aca="false">IF(D16=0,0,E16/D16)</f>
        <v>0.837037037037037</v>
      </c>
      <c r="E21" s="14" t="n">
        <v>1</v>
      </c>
      <c r="F21" s="6" t="str">
        <f aca="false">IF(ROUND(D21,4)&gt;=E21,"Đạt","Chưa đạt")</f>
        <v>Chưa đạt</v>
      </c>
    </row>
    <row r="22" customFormat="false" ht="15" hidden="false" customHeight="true" outlineLevel="0" collapsed="false">
      <c r="A22" s="6" t="n">
        <v>2</v>
      </c>
      <c r="B22" s="13" t="s">
        <v>40</v>
      </c>
      <c r="C22" s="13"/>
      <c r="D22" s="8" t="n">
        <f aca="false">J16</f>
        <v>0.946902654867257</v>
      </c>
      <c r="E22" s="14" t="n">
        <v>0.95</v>
      </c>
      <c r="F22" s="6" t="str">
        <f aca="false">IF(ROUND(D22,4)&gt;=E22,"Đạt","Chưa đạt")</f>
        <v>Chưa đạt</v>
      </c>
    </row>
    <row r="23" customFormat="false" ht="15" hidden="false" customHeight="true" outlineLevel="0" collapsed="false">
      <c r="A23" s="6" t="n">
        <v>3</v>
      </c>
      <c r="B23" s="13" t="s">
        <v>41</v>
      </c>
      <c r="C23" s="13"/>
      <c r="D23" s="8" t="n">
        <f aca="false">COUNTIF('Truy vết UC và TC'!B4:B28,"&gt;0")/COUNTA('Truy vết UC và TC'!A4:A28)</f>
        <v>1</v>
      </c>
      <c r="E23" s="14" t="n">
        <v>1</v>
      </c>
      <c r="F23" s="6" t="str">
        <f aca="false">IF(ROUND(D23,4)&gt;=E23,"Đạt","Chưa đạt")</f>
        <v>Đạt</v>
      </c>
    </row>
    <row r="24" customFormat="false" ht="15" hidden="false" customHeight="false" outlineLevel="0" collapsed="false">
      <c r="B24" s="11" t="s">
        <v>42</v>
      </c>
    </row>
    <row r="26" customFormat="false" ht="15" hidden="false" customHeight="false" outlineLevel="0" collapsed="false">
      <c r="A26" s="4" t="s">
        <v>43</v>
      </c>
      <c r="B26" s="4"/>
      <c r="C26" s="4"/>
      <c r="D26" s="4"/>
      <c r="E26" s="4"/>
      <c r="F26" s="4"/>
      <c r="G26" s="4"/>
      <c r="H26" s="4"/>
      <c r="I26" s="4"/>
      <c r="J26" s="4"/>
    </row>
    <row r="27" customFormat="false" ht="45" hidden="false" customHeight="true" outlineLevel="0" collapsed="false">
      <c r="A27" s="5" t="s">
        <v>4</v>
      </c>
      <c r="B27" s="5" t="s">
        <v>44</v>
      </c>
      <c r="C27" s="5"/>
      <c r="D27" s="5" t="s">
        <v>7</v>
      </c>
      <c r="E27" s="5" t="s">
        <v>45</v>
      </c>
      <c r="F27" s="5" t="s">
        <v>9</v>
      </c>
      <c r="G27" s="5" t="s">
        <v>10</v>
      </c>
      <c r="H27" s="5" t="s">
        <v>8</v>
      </c>
      <c r="I27" s="5" t="s">
        <v>12</v>
      </c>
      <c r="J27" s="5" t="s">
        <v>13</v>
      </c>
    </row>
    <row r="28" customFormat="false" ht="15" hidden="false" customHeight="true" outlineLevel="0" collapsed="false">
      <c r="A28" s="6" t="n">
        <v>1</v>
      </c>
      <c r="B28" s="15" t="s">
        <v>46</v>
      </c>
      <c r="C28" s="15"/>
      <c r="D28" s="6" t="n">
        <f aca="false">COUNTIF('Toàn bộ Test Case'!I:I,"Positive")</f>
        <v>70</v>
      </c>
      <c r="E28" s="8" t="n">
        <f aca="false">IF($D$16=0,0,D28/$D$16)</f>
        <v>0.518518518518519</v>
      </c>
      <c r="F28" s="6" t="n">
        <f aca="false">COUNTIFS('Toàn bộ Test Case'!I:I,"Positive",'Toàn bộ Test Case'!M:M,"Pass")</f>
        <v>55</v>
      </c>
      <c r="G28" s="6" t="n">
        <f aca="false">COUNTIFS('Toàn bộ Test Case'!I:I,"Positive",'Toàn bộ Test Case'!M:M,"Fail")</f>
        <v>3</v>
      </c>
      <c r="H28" s="6" t="n">
        <f aca="false">F28+G28</f>
        <v>58</v>
      </c>
      <c r="I28" s="6" t="n">
        <f aca="false">COUNTIFS('Toàn bộ Test Case'!I:I,"Positive",'Toàn bộ Test Case'!M:M,"Chưa thực hiện")</f>
        <v>12</v>
      </c>
      <c r="J28" s="8" t="n">
        <f aca="false">IF(H28=0,0,F28/H28)</f>
        <v>0.948275862068966</v>
      </c>
    </row>
    <row r="29" customFormat="false" ht="15" hidden="false" customHeight="true" outlineLevel="0" collapsed="false">
      <c r="A29" s="6" t="n">
        <v>2</v>
      </c>
      <c r="B29" s="16" t="s">
        <v>47</v>
      </c>
      <c r="C29" s="16"/>
      <c r="D29" s="6" t="n">
        <f aca="false">COUNTIF('Toàn bộ Test Case'!I:I,"Negative")</f>
        <v>34</v>
      </c>
      <c r="E29" s="8" t="n">
        <f aca="false">IF($D$16=0,0,D29/$D$16)</f>
        <v>0.251851851851852</v>
      </c>
      <c r="F29" s="6" t="n">
        <f aca="false">COUNTIFS('Toàn bộ Test Case'!I:I,"Negative",'Toàn bộ Test Case'!M:M,"Pass")</f>
        <v>26</v>
      </c>
      <c r="G29" s="6" t="n">
        <f aca="false">COUNTIFS('Toàn bộ Test Case'!I:I,"Negative",'Toàn bộ Test Case'!M:M,"Fail")</f>
        <v>1</v>
      </c>
      <c r="H29" s="6" t="n">
        <f aca="false">F29+G29</f>
        <v>27</v>
      </c>
      <c r="I29" s="6" t="n">
        <f aca="false">COUNTIFS('Toàn bộ Test Case'!I:I,"Negative",'Toàn bộ Test Case'!M:M,"Chưa thực hiện")</f>
        <v>7</v>
      </c>
      <c r="J29" s="8" t="n">
        <f aca="false">IF(H29=0,0,F29/H29)</f>
        <v>0.962962962962963</v>
      </c>
    </row>
    <row r="30" customFormat="false" ht="15" hidden="false" customHeight="true" outlineLevel="0" collapsed="false">
      <c r="A30" s="6" t="n">
        <v>3</v>
      </c>
      <c r="B30" s="17" t="s">
        <v>48</v>
      </c>
      <c r="C30" s="17"/>
      <c r="D30" s="6" t="n">
        <f aca="false">COUNTIF('Toàn bộ Test Case'!I:I,"Boundary")</f>
        <v>9</v>
      </c>
      <c r="E30" s="8" t="n">
        <f aca="false">IF($D$16=0,0,D30/$D$16)</f>
        <v>0.0666666666666667</v>
      </c>
      <c r="F30" s="6" t="n">
        <f aca="false">COUNTIFS('Toàn bộ Test Case'!I:I,"Boundary",'Toàn bộ Test Case'!M:M,"Pass")</f>
        <v>7</v>
      </c>
      <c r="G30" s="6" t="n">
        <f aca="false">COUNTIFS('Toàn bộ Test Case'!I:I,"Boundary",'Toàn bộ Test Case'!M:M,"Fail")</f>
        <v>0</v>
      </c>
      <c r="H30" s="6" t="n">
        <f aca="false">F30+G30</f>
        <v>7</v>
      </c>
      <c r="I30" s="6" t="n">
        <f aca="false">COUNTIFS('Toàn bộ Test Case'!I:I,"Boundary",'Toàn bộ Test Case'!M:M,"Chưa thực hiện")</f>
        <v>2</v>
      </c>
      <c r="J30" s="8" t="n">
        <f aca="false">IF(H30=0,0,F30/H30)</f>
        <v>1</v>
      </c>
    </row>
    <row r="31" customFormat="false" ht="15" hidden="false" customHeight="true" outlineLevel="0" collapsed="false">
      <c r="A31" s="6" t="n">
        <v>4</v>
      </c>
      <c r="B31" s="18" t="s">
        <v>49</v>
      </c>
      <c r="C31" s="18"/>
      <c r="D31" s="6" t="n">
        <f aca="false">COUNTIF('Toàn bộ Test Case'!I:I,"Security")</f>
        <v>22</v>
      </c>
      <c r="E31" s="8" t="n">
        <f aca="false">IF($D$16=0,0,D31/$D$16)</f>
        <v>0.162962962962963</v>
      </c>
      <c r="F31" s="6" t="n">
        <f aca="false">COUNTIFS('Toàn bộ Test Case'!I:I,"Security",'Toàn bộ Test Case'!M:M,"Pass")</f>
        <v>19</v>
      </c>
      <c r="G31" s="6" t="n">
        <f aca="false">COUNTIFS('Toàn bộ Test Case'!I:I,"Security",'Toàn bộ Test Case'!M:M,"Fail")</f>
        <v>2</v>
      </c>
      <c r="H31" s="6" t="n">
        <f aca="false">F31+G31</f>
        <v>21</v>
      </c>
      <c r="I31" s="6" t="n">
        <f aca="false">COUNTIFS('Toàn bộ Test Case'!I:I,"Security",'Toàn bộ Test Case'!M:M,"Chưa thực hiện")</f>
        <v>1</v>
      </c>
      <c r="J31" s="8" t="n">
        <f aca="false">IF(H31=0,0,F31/H31)</f>
        <v>0.904761904761905</v>
      </c>
    </row>
    <row r="32" customFormat="false" ht="15" hidden="false" customHeight="true" outlineLevel="0" collapsed="false">
      <c r="A32" s="6" t="n">
        <v>5</v>
      </c>
      <c r="B32" s="13" t="s">
        <v>50</v>
      </c>
      <c r="C32" s="13"/>
      <c r="D32" s="6" t="n">
        <f aca="false">COUNTIF('Toàn bộ Test Case'!J:J,"Cao")</f>
        <v>110</v>
      </c>
      <c r="E32" s="8" t="n">
        <f aca="false">IF($D$16=0,0,D32/$D$16)</f>
        <v>0.814814814814815</v>
      </c>
      <c r="F32" s="6" t="n">
        <f aca="false">COUNTIFS('Toàn bộ Test Case'!J:J,"Cao",'Toàn bộ Test Case'!M:M,"Pass")</f>
        <v>92</v>
      </c>
      <c r="G32" s="6" t="n">
        <f aca="false">COUNTIFS('Toàn bộ Test Case'!J:J,"Cao",'Toàn bộ Test Case'!M:M,"Fail")</f>
        <v>6</v>
      </c>
      <c r="H32" s="6" t="n">
        <f aca="false">F32+G32</f>
        <v>98</v>
      </c>
      <c r="I32" s="6" t="n">
        <f aca="false">COUNTIFS('Toàn bộ Test Case'!J:J,"Cao",'Toàn bộ Test Case'!M:M,"Chưa thực hiện")</f>
        <v>12</v>
      </c>
      <c r="J32" s="8" t="n">
        <f aca="false">IF(H32=0,0,F32/H32)</f>
        <v>0.938775510204082</v>
      </c>
    </row>
    <row r="33" customFormat="false" ht="15" hidden="false" customHeight="true" outlineLevel="0" collapsed="false">
      <c r="A33" s="6" t="n">
        <v>6</v>
      </c>
      <c r="B33" s="13" t="s">
        <v>51</v>
      </c>
      <c r="C33" s="13"/>
      <c r="D33" s="6" t="n">
        <f aca="false">COUNTIF('Toàn bộ Test Case'!J:J,"Trung bình")</f>
        <v>25</v>
      </c>
      <c r="E33" s="8" t="n">
        <f aca="false">IF($D$16=0,0,D33/$D$16)</f>
        <v>0.185185185185185</v>
      </c>
      <c r="F33" s="6" t="n">
        <f aca="false">COUNTIFS('Toàn bộ Test Case'!J:J,"Trung bình",'Toàn bộ Test Case'!M:M,"Pass")</f>
        <v>15</v>
      </c>
      <c r="G33" s="6" t="n">
        <f aca="false">COUNTIFS('Toàn bộ Test Case'!J:J,"Trung bình",'Toàn bộ Test Case'!M:M,"Fail")</f>
        <v>0</v>
      </c>
      <c r="H33" s="6" t="n">
        <f aca="false">F33+G33</f>
        <v>15</v>
      </c>
      <c r="I33" s="6" t="n">
        <f aca="false">COUNTIFS('Toàn bộ Test Case'!J:J,"Trung bình",'Toàn bộ Test Case'!M:M,"Chưa thực hiện")</f>
        <v>10</v>
      </c>
      <c r="J33" s="8" t="n">
        <f aca="false">IF(H33=0,0,F33/H33)</f>
        <v>1</v>
      </c>
    </row>
    <row r="35" customFormat="false" ht="15" hidden="false" customHeight="false" outlineLevel="0" collapsed="false">
      <c r="A35" s="4" t="s">
        <v>52</v>
      </c>
      <c r="B35" s="4"/>
      <c r="C35" s="4"/>
      <c r="D35" s="4"/>
      <c r="E35" s="4"/>
      <c r="F35" s="4"/>
      <c r="G35" s="4"/>
      <c r="H35" s="4"/>
      <c r="I35" s="4"/>
      <c r="J35" s="4"/>
    </row>
    <row r="36" customFormat="false" ht="45" hidden="false" customHeight="true" outlineLevel="0" collapsed="false">
      <c r="A36" s="5" t="s">
        <v>4</v>
      </c>
      <c r="B36" s="5" t="s">
        <v>53</v>
      </c>
      <c r="C36" s="5"/>
      <c r="D36" s="5" t="s">
        <v>7</v>
      </c>
      <c r="E36" s="5" t="s">
        <v>45</v>
      </c>
      <c r="F36" s="5" t="s">
        <v>54</v>
      </c>
      <c r="G36" s="5" t="s">
        <v>55</v>
      </c>
      <c r="H36" s="5" t="s">
        <v>12</v>
      </c>
    </row>
    <row r="37" customFormat="false" ht="15" hidden="false" customHeight="true" outlineLevel="0" collapsed="false">
      <c r="A37" s="6" t="n">
        <v>1</v>
      </c>
      <c r="B37" s="13" t="s">
        <v>56</v>
      </c>
      <c r="C37" s="13"/>
      <c r="D37" s="6" t="n">
        <f aca="false">COUNTIF('Toàn bộ Test Case'!K:K,"Tự động")</f>
        <v>119</v>
      </c>
      <c r="E37" s="8" t="n">
        <f aca="false">IF($D$16=0,0,D37/$D$16)</f>
        <v>0.881481481481482</v>
      </c>
      <c r="F37" s="6" t="n">
        <f aca="false">COUNTIFS('Toàn bộ Test Case'!K:K,"Tự động",'Toàn bộ Test Case'!N:N,"Jest + Supertest")</f>
        <v>105</v>
      </c>
      <c r="G37" s="6" t="n">
        <f aca="false">COUNTIFS('Toàn bộ Test Case'!K:K,"Tự động",'Toàn bộ Test Case'!N:N,"Đo trực tiếp với Gemini thật")</f>
        <v>0</v>
      </c>
      <c r="H37" s="6" t="n">
        <f aca="false">COUNTIFS('Toàn bộ Test Case'!K:K,"Tự động",'Toàn bộ Test Case'!M:M,"Chưa thực hiện")</f>
        <v>14</v>
      </c>
    </row>
    <row r="38" customFormat="false" ht="15" hidden="false" customHeight="true" outlineLevel="0" collapsed="false">
      <c r="A38" s="6" t="n">
        <v>2</v>
      </c>
      <c r="B38" s="13" t="s">
        <v>57</v>
      </c>
      <c r="C38" s="13"/>
      <c r="D38" s="6" t="n">
        <f aca="false">COUNTIF('Toàn bộ Test Case'!K:K,"Thủ công")</f>
        <v>16</v>
      </c>
      <c r="E38" s="8" t="n">
        <f aca="false">IF($D$16=0,0,D38/$D$16)</f>
        <v>0.118518518518519</v>
      </c>
      <c r="F38" s="6" t="n">
        <f aca="false">COUNTIFS('Toàn bộ Test Case'!K:K,"Thủ công",'Toàn bộ Test Case'!N:N,"Jest + Supertest")</f>
        <v>7</v>
      </c>
      <c r="G38" s="6" t="n">
        <f aca="false">COUNTIFS('Toàn bộ Test Case'!K:K,"Thủ công",'Toàn bộ Test Case'!N:N,"Đo trực tiếp với Gemini thật")</f>
        <v>1</v>
      </c>
      <c r="H38" s="6" t="n">
        <f aca="false">COUNTIFS('Toàn bộ Test Case'!K:K,"Thủ công",'Toàn bộ Test Case'!M:M,"Chưa thực hiện")</f>
        <v>8</v>
      </c>
    </row>
    <row r="39" customFormat="false" ht="15" hidden="false" customHeight="true" outlineLevel="0" collapsed="false">
      <c r="A39" s="9"/>
      <c r="B39" s="19" t="s">
        <v>32</v>
      </c>
      <c r="C39" s="19"/>
      <c r="D39" s="9" t="n">
        <f aca="false">SUM(D37:D38)</f>
        <v>135</v>
      </c>
      <c r="E39" s="10" t="n">
        <f aca="false">IF($D$16=0,0,D39/$D$16)</f>
        <v>1</v>
      </c>
      <c r="F39" s="9" t="n">
        <f aca="false">SUM(F37:F38)</f>
        <v>112</v>
      </c>
      <c r="G39" s="9" t="n">
        <f aca="false">SUM(G37:G38)</f>
        <v>1</v>
      </c>
      <c r="H39" s="9" t="n">
        <f aca="false">SUM(H37:H38)</f>
        <v>22</v>
      </c>
    </row>
    <row r="40" customFormat="false" ht="30" hidden="false" customHeight="true" outlineLevel="0" collapsed="false">
      <c r="B40" s="3" t="s">
        <v>58</v>
      </c>
      <c r="C40" s="3"/>
      <c r="D40" s="3"/>
      <c r="E40" s="3"/>
      <c r="F40" s="3"/>
      <c r="G40" s="3"/>
      <c r="H40" s="3"/>
      <c r="I40" s="3"/>
      <c r="J40" s="3"/>
    </row>
    <row r="42" customFormat="false" ht="15" hidden="false" customHeight="false" outlineLevel="0" collapsed="false">
      <c r="A42" s="4" t="s">
        <v>59</v>
      </c>
      <c r="B42" s="4"/>
      <c r="C42" s="4"/>
      <c r="D42" s="4"/>
      <c r="E42" s="4"/>
      <c r="F42" s="4"/>
      <c r="G42" s="4"/>
      <c r="H42" s="4"/>
      <c r="I42" s="4"/>
      <c r="J42" s="4"/>
    </row>
    <row r="43" customFormat="false" ht="31.5" hidden="false" customHeight="true" outlineLevel="0" collapsed="false">
      <c r="A43" s="5" t="s">
        <v>4</v>
      </c>
      <c r="B43" s="5" t="s">
        <v>60</v>
      </c>
      <c r="C43" s="5" t="s">
        <v>61</v>
      </c>
      <c r="D43" s="5" t="s">
        <v>62</v>
      </c>
      <c r="E43" s="5"/>
      <c r="F43" s="5" t="s">
        <v>63</v>
      </c>
      <c r="G43" s="5"/>
      <c r="H43" s="5" t="s">
        <v>64</v>
      </c>
      <c r="I43" s="5"/>
      <c r="J43" s="5"/>
    </row>
    <row r="44" customFormat="false" ht="25.35" hidden="false" customHeight="true" outlineLevel="0" collapsed="false">
      <c r="A44" s="6" t="n">
        <v>1</v>
      </c>
      <c r="B44" s="6" t="s">
        <v>65</v>
      </c>
      <c r="C44" s="13" t="s">
        <v>66</v>
      </c>
      <c r="D44" s="6" t="s">
        <v>67</v>
      </c>
      <c r="E44" s="6"/>
      <c r="F44" s="6" t="s">
        <v>68</v>
      </c>
      <c r="G44" s="6"/>
      <c r="H44" s="13" t="s">
        <v>69</v>
      </c>
      <c r="I44" s="13"/>
      <c r="J44" s="13"/>
    </row>
    <row r="45" customFormat="false" ht="15" hidden="false" customHeight="true" outlineLevel="0" collapsed="false">
      <c r="A45" s="6" t="n">
        <v>2</v>
      </c>
      <c r="B45" s="6" t="s">
        <v>70</v>
      </c>
      <c r="C45" s="13" t="s">
        <v>71</v>
      </c>
      <c r="D45" s="6" t="s">
        <v>72</v>
      </c>
      <c r="E45" s="6"/>
      <c r="F45" s="6" t="s">
        <v>68</v>
      </c>
      <c r="G45" s="6"/>
      <c r="H45" s="13" t="s">
        <v>73</v>
      </c>
      <c r="I45" s="13"/>
      <c r="J45" s="13"/>
    </row>
    <row r="46" customFormat="false" ht="15" hidden="false" customHeight="true" outlineLevel="0" collapsed="false">
      <c r="A46" s="6" t="n">
        <v>3</v>
      </c>
      <c r="B46" s="6" t="s">
        <v>74</v>
      </c>
      <c r="C46" s="13" t="s">
        <v>75</v>
      </c>
      <c r="D46" s="6" t="s">
        <v>76</v>
      </c>
      <c r="E46" s="6"/>
      <c r="F46" s="6" t="s">
        <v>77</v>
      </c>
      <c r="G46" s="6"/>
      <c r="H46" s="13" t="s">
        <v>78</v>
      </c>
      <c r="I46" s="13"/>
      <c r="J46" s="13"/>
    </row>
    <row r="47" customFormat="false" ht="15" hidden="false" customHeight="true" outlineLevel="0" collapsed="false">
      <c r="A47" s="6" t="n">
        <v>4</v>
      </c>
      <c r="B47" s="6" t="s">
        <v>79</v>
      </c>
      <c r="C47" s="13" t="s">
        <v>80</v>
      </c>
      <c r="D47" s="6" t="s">
        <v>81</v>
      </c>
      <c r="E47" s="6"/>
      <c r="F47" s="6" t="s">
        <v>82</v>
      </c>
      <c r="G47" s="6"/>
      <c r="H47" s="13" t="s">
        <v>83</v>
      </c>
      <c r="I47" s="13"/>
      <c r="J47" s="13"/>
    </row>
    <row r="48" customFormat="false" ht="15" hidden="false" customHeight="true" outlineLevel="0" collapsed="false">
      <c r="A48" s="6" t="n">
        <v>5</v>
      </c>
      <c r="B48" s="6" t="s">
        <v>84</v>
      </c>
      <c r="C48" s="13" t="s">
        <v>85</v>
      </c>
      <c r="D48" s="6" t="s">
        <v>86</v>
      </c>
      <c r="E48" s="6"/>
      <c r="F48" s="6" t="s">
        <v>82</v>
      </c>
      <c r="G48" s="6"/>
      <c r="H48" s="13" t="s">
        <v>87</v>
      </c>
      <c r="I48" s="13"/>
      <c r="J48" s="13"/>
    </row>
    <row r="49" customFormat="false" ht="15" hidden="false" customHeight="true" outlineLevel="0" collapsed="false">
      <c r="A49" s="6" t="n">
        <v>6</v>
      </c>
      <c r="B49" s="6" t="s">
        <v>88</v>
      </c>
      <c r="C49" s="13" t="s">
        <v>89</v>
      </c>
      <c r="D49" s="6" t="s">
        <v>90</v>
      </c>
      <c r="E49" s="6"/>
      <c r="F49" s="6" t="s">
        <v>91</v>
      </c>
      <c r="G49" s="6"/>
      <c r="H49" s="13" t="s">
        <v>92</v>
      </c>
      <c r="I49" s="13"/>
      <c r="J49" s="13"/>
    </row>
    <row r="50" customFormat="false" ht="15" hidden="false" customHeight="true" outlineLevel="0" collapsed="false">
      <c r="A50" s="9"/>
      <c r="B50" s="9" t="n">
        <f aca="false">COUNTIF('Toàn bộ Test Case'!M:M,"Fail")</f>
        <v>6</v>
      </c>
      <c r="C50" s="19" t="s">
        <v>93</v>
      </c>
      <c r="D50" s="19"/>
      <c r="E50" s="19"/>
      <c r="F50" s="19"/>
      <c r="G50" s="19"/>
      <c r="H50" s="19"/>
      <c r="I50" s="19"/>
      <c r="J50" s="19"/>
    </row>
  </sheetData>
  <mergeCells count="46">
    <mergeCell ref="A1:J1"/>
    <mergeCell ref="A2:J2"/>
    <mergeCell ref="A3:J3"/>
    <mergeCell ref="A5:J5"/>
    <mergeCell ref="A19:J19"/>
    <mergeCell ref="B20:C20"/>
    <mergeCell ref="B21:C21"/>
    <mergeCell ref="B22:C22"/>
    <mergeCell ref="B23:C23"/>
    <mergeCell ref="A26:J26"/>
    <mergeCell ref="B27:C27"/>
    <mergeCell ref="B28:C28"/>
    <mergeCell ref="B29:C29"/>
    <mergeCell ref="B30:C30"/>
    <mergeCell ref="B31:C31"/>
    <mergeCell ref="B32:C32"/>
    <mergeCell ref="B33:C33"/>
    <mergeCell ref="A35:J35"/>
    <mergeCell ref="B36:C36"/>
    <mergeCell ref="B37:C37"/>
    <mergeCell ref="B38:C38"/>
    <mergeCell ref="B39:C39"/>
    <mergeCell ref="B40:J40"/>
    <mergeCell ref="A42:J42"/>
    <mergeCell ref="D43:E43"/>
    <mergeCell ref="F43:G43"/>
    <mergeCell ref="H43:J43"/>
    <mergeCell ref="D44:E44"/>
    <mergeCell ref="F44:G44"/>
    <mergeCell ref="H44:J44"/>
    <mergeCell ref="D45:E45"/>
    <mergeCell ref="F45:G45"/>
    <mergeCell ref="H45:J45"/>
    <mergeCell ref="D46:E46"/>
    <mergeCell ref="F46:G46"/>
    <mergeCell ref="H46:J46"/>
    <mergeCell ref="D47:E47"/>
    <mergeCell ref="F47:G47"/>
    <mergeCell ref="H47:J47"/>
    <mergeCell ref="D48:E48"/>
    <mergeCell ref="F48:G48"/>
    <mergeCell ref="H48:J48"/>
    <mergeCell ref="D49:E49"/>
    <mergeCell ref="F49:G49"/>
    <mergeCell ref="H49:J49"/>
    <mergeCell ref="C50:J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28"/>
    <col collapsed="false" customWidth="true" hidden="false" outlineLevel="0" max="6" min="6" style="0" width="30"/>
    <col collapsed="false" customWidth="true" hidden="false" outlineLevel="0" max="7" min="7" style="0" width="38"/>
    <col collapsed="false" customWidth="true" hidden="false" outlineLevel="0" max="8" min="8" style="0" width="46"/>
    <col collapsed="false" customWidth="true" hidden="false" outlineLevel="0" max="9" min="9" style="0" width="11"/>
    <col collapsed="false" customWidth="true" hidden="false" outlineLevel="0" max="11" min="10" style="0" width="12"/>
    <col collapsed="false" customWidth="true" hidden="false" outlineLevel="0" max="12" min="12" style="0" width="26"/>
    <col collapsed="false" customWidth="true" hidden="false" outlineLevel="0" max="14" min="13" style="0" width="14"/>
    <col collapsed="false" customWidth="true" hidden="false" outlineLevel="0" max="15" min="15" style="0" width="13"/>
    <col collapsed="false" customWidth="true" hidden="false" outlineLevel="0" max="16" min="16" style="0" width="20"/>
  </cols>
  <sheetData>
    <row r="1" customFormat="false" ht="31.5" hidden="false" customHeight="true" outlineLevel="0" collapsed="false">
      <c r="A1" s="5" t="s">
        <v>60</v>
      </c>
      <c r="B1" s="5" t="s">
        <v>6</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customFormat="false" ht="97" hidden="false" customHeight="false" outlineLevel="0" collapsed="false">
      <c r="A2" s="6" t="s">
        <v>108</v>
      </c>
      <c r="B2" s="7" t="s">
        <v>15</v>
      </c>
      <c r="C2" s="6" t="s">
        <v>109</v>
      </c>
      <c r="D2" s="7" t="s">
        <v>110</v>
      </c>
      <c r="E2" s="7" t="s">
        <v>111</v>
      </c>
      <c r="F2" s="7" t="s">
        <v>112</v>
      </c>
      <c r="G2" s="7" t="s">
        <v>113</v>
      </c>
      <c r="H2" s="7" t="s">
        <v>114</v>
      </c>
      <c r="I2" s="20" t="s">
        <v>46</v>
      </c>
      <c r="J2" s="6" t="s">
        <v>77</v>
      </c>
      <c r="K2" s="6" t="s">
        <v>115</v>
      </c>
      <c r="L2" s="7" t="s">
        <v>116</v>
      </c>
      <c r="M2" s="21" t="s">
        <v>9</v>
      </c>
      <c r="N2" s="7" t="s">
        <v>117</v>
      </c>
      <c r="O2" s="6" t="s">
        <v>118</v>
      </c>
      <c r="P2" s="7" t="s">
        <v>119</v>
      </c>
    </row>
    <row r="3" customFormat="false" ht="25.35" hidden="false" customHeight="false" outlineLevel="0" collapsed="false">
      <c r="A3" s="6" t="s">
        <v>120</v>
      </c>
      <c r="B3" s="7" t="s">
        <v>15</v>
      </c>
      <c r="C3" s="6" t="s">
        <v>109</v>
      </c>
      <c r="D3" s="7" t="s">
        <v>121</v>
      </c>
      <c r="E3" s="7" t="s">
        <v>122</v>
      </c>
      <c r="F3" s="7" t="s">
        <v>123</v>
      </c>
      <c r="G3" s="7" t="s">
        <v>124</v>
      </c>
      <c r="H3" s="7" t="s">
        <v>125</v>
      </c>
      <c r="I3" s="22" t="s">
        <v>47</v>
      </c>
      <c r="J3" s="6" t="s">
        <v>77</v>
      </c>
      <c r="K3" s="6" t="s">
        <v>115</v>
      </c>
      <c r="L3" s="7" t="s">
        <v>126</v>
      </c>
      <c r="M3" s="21" t="s">
        <v>9</v>
      </c>
      <c r="N3" s="7" t="s">
        <v>117</v>
      </c>
      <c r="O3" s="6" t="s">
        <v>118</v>
      </c>
      <c r="P3" s="7"/>
    </row>
    <row r="4" customFormat="false" ht="25.35" hidden="false" customHeight="false" outlineLevel="0" collapsed="false">
      <c r="A4" s="6" t="s">
        <v>127</v>
      </c>
      <c r="B4" s="7" t="s">
        <v>15</v>
      </c>
      <c r="C4" s="6" t="s">
        <v>109</v>
      </c>
      <c r="D4" s="7" t="s">
        <v>128</v>
      </c>
      <c r="E4" s="7" t="s">
        <v>122</v>
      </c>
      <c r="F4" s="7" t="s">
        <v>129</v>
      </c>
      <c r="G4" s="7" t="s">
        <v>124</v>
      </c>
      <c r="H4" s="7" t="s">
        <v>125</v>
      </c>
      <c r="I4" s="22" t="s">
        <v>47</v>
      </c>
      <c r="J4" s="6" t="s">
        <v>77</v>
      </c>
      <c r="K4" s="6" t="s">
        <v>115</v>
      </c>
      <c r="L4" s="7" t="s">
        <v>126</v>
      </c>
      <c r="M4" s="21" t="s">
        <v>9</v>
      </c>
      <c r="N4" s="7" t="s">
        <v>117</v>
      </c>
      <c r="O4" s="6" t="s">
        <v>118</v>
      </c>
      <c r="P4" s="7"/>
    </row>
    <row r="5" customFormat="false" ht="25.35" hidden="false" customHeight="false" outlineLevel="0" collapsed="false">
      <c r="A5" s="6" t="s">
        <v>130</v>
      </c>
      <c r="B5" s="7" t="s">
        <v>15</v>
      </c>
      <c r="C5" s="6" t="s">
        <v>109</v>
      </c>
      <c r="D5" s="7" t="s">
        <v>131</v>
      </c>
      <c r="E5" s="7" t="s">
        <v>122</v>
      </c>
      <c r="F5" s="7" t="s">
        <v>132</v>
      </c>
      <c r="G5" s="7" t="s">
        <v>124</v>
      </c>
      <c r="H5" s="7" t="s">
        <v>125</v>
      </c>
      <c r="I5" s="22" t="s">
        <v>47</v>
      </c>
      <c r="J5" s="6" t="s">
        <v>77</v>
      </c>
      <c r="K5" s="6" t="s">
        <v>115</v>
      </c>
      <c r="L5" s="7" t="s">
        <v>126</v>
      </c>
      <c r="M5" s="21" t="s">
        <v>9</v>
      </c>
      <c r="N5" s="7" t="s">
        <v>117</v>
      </c>
      <c r="O5" s="6" t="s">
        <v>118</v>
      </c>
      <c r="P5" s="7"/>
    </row>
    <row r="6" customFormat="false" ht="25.35" hidden="false" customHeight="false" outlineLevel="0" collapsed="false">
      <c r="A6" s="6" t="s">
        <v>133</v>
      </c>
      <c r="B6" s="7" t="s">
        <v>15</v>
      </c>
      <c r="C6" s="6" t="s">
        <v>109</v>
      </c>
      <c r="D6" s="7" t="s">
        <v>134</v>
      </c>
      <c r="E6" s="7" t="s">
        <v>122</v>
      </c>
      <c r="F6" s="7" t="s">
        <v>135</v>
      </c>
      <c r="G6" s="7" t="s">
        <v>124</v>
      </c>
      <c r="H6" s="7" t="s">
        <v>125</v>
      </c>
      <c r="I6" s="22" t="s">
        <v>47</v>
      </c>
      <c r="J6" s="6" t="s">
        <v>82</v>
      </c>
      <c r="K6" s="6" t="s">
        <v>115</v>
      </c>
      <c r="L6" s="7" t="s">
        <v>126</v>
      </c>
      <c r="M6" s="21" t="s">
        <v>9</v>
      </c>
      <c r="N6" s="7" t="s">
        <v>117</v>
      </c>
      <c r="O6" s="6" t="s">
        <v>118</v>
      </c>
      <c r="P6" s="7"/>
    </row>
    <row r="7" customFormat="false" ht="37.3" hidden="false" customHeight="false" outlineLevel="0" collapsed="false">
      <c r="A7" s="6" t="s">
        <v>88</v>
      </c>
      <c r="B7" s="7" t="s">
        <v>15</v>
      </c>
      <c r="C7" s="6" t="s">
        <v>109</v>
      </c>
      <c r="D7" s="7" t="s">
        <v>136</v>
      </c>
      <c r="E7" s="7" t="s">
        <v>137</v>
      </c>
      <c r="F7" s="7" t="s">
        <v>138</v>
      </c>
      <c r="G7" s="7" t="s">
        <v>139</v>
      </c>
      <c r="H7" s="7" t="s">
        <v>140</v>
      </c>
      <c r="I7" s="22" t="s">
        <v>47</v>
      </c>
      <c r="J7" s="6" t="s">
        <v>77</v>
      </c>
      <c r="K7" s="6" t="s">
        <v>115</v>
      </c>
      <c r="L7" s="7" t="s">
        <v>141</v>
      </c>
      <c r="M7" s="23" t="s">
        <v>10</v>
      </c>
      <c r="N7" s="7" t="s">
        <v>117</v>
      </c>
      <c r="O7" s="6" t="s">
        <v>118</v>
      </c>
      <c r="P7" s="7" t="s">
        <v>142</v>
      </c>
    </row>
    <row r="8" customFormat="false" ht="61.15" hidden="false" customHeight="false" outlineLevel="0" collapsed="false">
      <c r="A8" s="6" t="s">
        <v>143</v>
      </c>
      <c r="B8" s="7" t="s">
        <v>15</v>
      </c>
      <c r="C8" s="6" t="s">
        <v>109</v>
      </c>
      <c r="D8" s="7" t="s">
        <v>144</v>
      </c>
      <c r="E8" s="7" t="s">
        <v>145</v>
      </c>
      <c r="F8" s="7" t="s">
        <v>146</v>
      </c>
      <c r="G8" s="7" t="s">
        <v>147</v>
      </c>
      <c r="H8" s="7" t="s">
        <v>148</v>
      </c>
      <c r="I8" s="22" t="s">
        <v>47</v>
      </c>
      <c r="J8" s="6" t="s">
        <v>77</v>
      </c>
      <c r="K8" s="6" t="s">
        <v>115</v>
      </c>
      <c r="L8" s="7" t="s">
        <v>149</v>
      </c>
      <c r="M8" s="6" t="s">
        <v>12</v>
      </c>
      <c r="N8" s="7"/>
      <c r="O8" s="6"/>
      <c r="P8" s="7" t="s">
        <v>150</v>
      </c>
    </row>
    <row r="9" customFormat="false" ht="61.15" hidden="false" customHeight="false" outlineLevel="0" collapsed="false">
      <c r="A9" s="6" t="s">
        <v>151</v>
      </c>
      <c r="B9" s="7" t="s">
        <v>15</v>
      </c>
      <c r="C9" s="6" t="s">
        <v>109</v>
      </c>
      <c r="D9" s="7" t="s">
        <v>152</v>
      </c>
      <c r="E9" s="7" t="s">
        <v>145</v>
      </c>
      <c r="F9" s="7" t="s">
        <v>153</v>
      </c>
      <c r="G9" s="7" t="s">
        <v>154</v>
      </c>
      <c r="H9" s="7" t="s">
        <v>155</v>
      </c>
      <c r="I9" s="22" t="s">
        <v>47</v>
      </c>
      <c r="J9" s="6" t="s">
        <v>82</v>
      </c>
      <c r="K9" s="6" t="s">
        <v>115</v>
      </c>
      <c r="L9" s="7" t="s">
        <v>149</v>
      </c>
      <c r="M9" s="6" t="s">
        <v>12</v>
      </c>
      <c r="N9" s="7"/>
      <c r="O9" s="6"/>
      <c r="P9" s="7" t="s">
        <v>150</v>
      </c>
    </row>
    <row r="10" customFormat="false" ht="49.25" hidden="false" customHeight="false" outlineLevel="0" collapsed="false">
      <c r="A10" s="6" t="s">
        <v>156</v>
      </c>
      <c r="B10" s="7" t="s">
        <v>15</v>
      </c>
      <c r="C10" s="6" t="s">
        <v>109</v>
      </c>
      <c r="D10" s="7" t="s">
        <v>157</v>
      </c>
      <c r="E10" s="7" t="s">
        <v>158</v>
      </c>
      <c r="F10" s="7" t="s">
        <v>159</v>
      </c>
      <c r="G10" s="7" t="s">
        <v>160</v>
      </c>
      <c r="H10" s="7" t="s">
        <v>161</v>
      </c>
      <c r="I10" s="24" t="s">
        <v>49</v>
      </c>
      <c r="J10" s="6" t="s">
        <v>77</v>
      </c>
      <c r="K10" s="6" t="s">
        <v>115</v>
      </c>
      <c r="L10" s="7" t="s">
        <v>162</v>
      </c>
      <c r="M10" s="21" t="s">
        <v>9</v>
      </c>
      <c r="N10" s="7" t="s">
        <v>117</v>
      </c>
      <c r="O10" s="6" t="s">
        <v>118</v>
      </c>
      <c r="P10" s="7"/>
    </row>
    <row r="11" customFormat="false" ht="61.15" hidden="false" customHeight="false" outlineLevel="0" collapsed="false">
      <c r="A11" s="6" t="s">
        <v>163</v>
      </c>
      <c r="B11" s="7" t="s">
        <v>15</v>
      </c>
      <c r="C11" s="6" t="s">
        <v>109</v>
      </c>
      <c r="D11" s="7" t="s">
        <v>164</v>
      </c>
      <c r="E11" s="7" t="s">
        <v>165</v>
      </c>
      <c r="F11" s="7" t="s">
        <v>166</v>
      </c>
      <c r="G11" s="7" t="s">
        <v>167</v>
      </c>
      <c r="H11" s="7" t="s">
        <v>168</v>
      </c>
      <c r="I11" s="20" t="s">
        <v>46</v>
      </c>
      <c r="J11" s="6" t="s">
        <v>82</v>
      </c>
      <c r="K11" s="6" t="s">
        <v>57</v>
      </c>
      <c r="L11" s="7" t="s">
        <v>169</v>
      </c>
      <c r="M11" s="6" t="s">
        <v>12</v>
      </c>
      <c r="N11" s="7"/>
      <c r="O11" s="6"/>
      <c r="P11" s="7" t="s">
        <v>170</v>
      </c>
    </row>
    <row r="12" customFormat="false" ht="73.1" hidden="false" customHeight="false" outlineLevel="0" collapsed="false">
      <c r="A12" s="6" t="s">
        <v>171</v>
      </c>
      <c r="B12" s="7" t="s">
        <v>15</v>
      </c>
      <c r="C12" s="6" t="s">
        <v>109</v>
      </c>
      <c r="D12" s="7" t="s">
        <v>172</v>
      </c>
      <c r="E12" s="7" t="s">
        <v>173</v>
      </c>
      <c r="F12" s="7" t="s">
        <v>174</v>
      </c>
      <c r="G12" s="7" t="s">
        <v>175</v>
      </c>
      <c r="H12" s="7" t="s">
        <v>176</v>
      </c>
      <c r="I12" s="24" t="s">
        <v>49</v>
      </c>
      <c r="J12" s="6" t="s">
        <v>77</v>
      </c>
      <c r="K12" s="6" t="s">
        <v>115</v>
      </c>
      <c r="L12" s="7" t="s">
        <v>177</v>
      </c>
      <c r="M12" s="21" t="s">
        <v>9</v>
      </c>
      <c r="N12" s="7" t="s">
        <v>117</v>
      </c>
      <c r="O12" s="6" t="s">
        <v>118</v>
      </c>
      <c r="P12" s="7"/>
    </row>
    <row r="13" customFormat="false" ht="61.15" hidden="false" customHeight="false" outlineLevel="0" collapsed="false">
      <c r="A13" s="6" t="s">
        <v>178</v>
      </c>
      <c r="B13" s="7" t="s">
        <v>15</v>
      </c>
      <c r="C13" s="6" t="s">
        <v>179</v>
      </c>
      <c r="D13" s="7" t="s">
        <v>180</v>
      </c>
      <c r="E13" s="7" t="s">
        <v>181</v>
      </c>
      <c r="F13" s="7" t="s">
        <v>182</v>
      </c>
      <c r="G13" s="7" t="s">
        <v>183</v>
      </c>
      <c r="H13" s="7" t="s">
        <v>184</v>
      </c>
      <c r="I13" s="20" t="s">
        <v>46</v>
      </c>
      <c r="J13" s="6" t="s">
        <v>77</v>
      </c>
      <c r="K13" s="6" t="s">
        <v>115</v>
      </c>
      <c r="L13" s="7" t="s">
        <v>185</v>
      </c>
      <c r="M13" s="21" t="s">
        <v>9</v>
      </c>
      <c r="N13" s="7" t="s">
        <v>117</v>
      </c>
      <c r="O13" s="6" t="s">
        <v>118</v>
      </c>
      <c r="P13" s="7" t="s">
        <v>186</v>
      </c>
    </row>
    <row r="14" customFormat="false" ht="61.15" hidden="false" customHeight="false" outlineLevel="0" collapsed="false">
      <c r="A14" s="6" t="s">
        <v>187</v>
      </c>
      <c r="B14" s="7" t="s">
        <v>15</v>
      </c>
      <c r="C14" s="6" t="s">
        <v>179</v>
      </c>
      <c r="D14" s="7" t="s">
        <v>188</v>
      </c>
      <c r="E14" s="7" t="s">
        <v>181</v>
      </c>
      <c r="F14" s="7" t="s">
        <v>189</v>
      </c>
      <c r="G14" s="7" t="s">
        <v>183</v>
      </c>
      <c r="H14" s="7" t="s">
        <v>190</v>
      </c>
      <c r="I14" s="20" t="s">
        <v>46</v>
      </c>
      <c r="J14" s="6" t="s">
        <v>77</v>
      </c>
      <c r="K14" s="6" t="s">
        <v>115</v>
      </c>
      <c r="L14" s="7" t="s">
        <v>191</v>
      </c>
      <c r="M14" s="21" t="s">
        <v>9</v>
      </c>
      <c r="N14" s="7" t="s">
        <v>117</v>
      </c>
      <c r="O14" s="6" t="s">
        <v>118</v>
      </c>
      <c r="P14" s="7" t="s">
        <v>186</v>
      </c>
    </row>
    <row r="15" customFormat="false" ht="61.15" hidden="false" customHeight="false" outlineLevel="0" collapsed="false">
      <c r="A15" s="6" t="s">
        <v>192</v>
      </c>
      <c r="B15" s="7" t="s">
        <v>15</v>
      </c>
      <c r="C15" s="6" t="s">
        <v>179</v>
      </c>
      <c r="D15" s="7" t="s">
        <v>193</v>
      </c>
      <c r="E15" s="7" t="s">
        <v>194</v>
      </c>
      <c r="F15" s="7" t="s">
        <v>195</v>
      </c>
      <c r="G15" s="7" t="s">
        <v>183</v>
      </c>
      <c r="H15" s="7" t="s">
        <v>196</v>
      </c>
      <c r="I15" s="20" t="s">
        <v>46</v>
      </c>
      <c r="J15" s="6" t="s">
        <v>77</v>
      </c>
      <c r="K15" s="6" t="s">
        <v>115</v>
      </c>
      <c r="L15" s="7" t="s">
        <v>197</v>
      </c>
      <c r="M15" s="21" t="s">
        <v>9</v>
      </c>
      <c r="N15" s="7" t="s">
        <v>117</v>
      </c>
      <c r="O15" s="6" t="s">
        <v>118</v>
      </c>
      <c r="P15" s="7" t="s">
        <v>186</v>
      </c>
    </row>
    <row r="16" customFormat="false" ht="61.15" hidden="false" customHeight="false" outlineLevel="0" collapsed="false">
      <c r="A16" s="6" t="s">
        <v>198</v>
      </c>
      <c r="B16" s="7" t="s">
        <v>15</v>
      </c>
      <c r="C16" s="6" t="s">
        <v>179</v>
      </c>
      <c r="D16" s="7" t="s">
        <v>199</v>
      </c>
      <c r="E16" s="7" t="s">
        <v>181</v>
      </c>
      <c r="F16" s="7" t="s">
        <v>200</v>
      </c>
      <c r="G16" s="7" t="s">
        <v>183</v>
      </c>
      <c r="H16" s="7" t="s">
        <v>201</v>
      </c>
      <c r="I16" s="20" t="s">
        <v>46</v>
      </c>
      <c r="J16" s="6" t="s">
        <v>77</v>
      </c>
      <c r="K16" s="6" t="s">
        <v>115</v>
      </c>
      <c r="L16" s="7" t="s">
        <v>202</v>
      </c>
      <c r="M16" s="21" t="s">
        <v>9</v>
      </c>
      <c r="N16" s="7" t="s">
        <v>117</v>
      </c>
      <c r="O16" s="6" t="s">
        <v>118</v>
      </c>
      <c r="P16" s="7" t="s">
        <v>186</v>
      </c>
    </row>
    <row r="17" customFormat="false" ht="49.25" hidden="false" customHeight="false" outlineLevel="0" collapsed="false">
      <c r="A17" s="6" t="s">
        <v>203</v>
      </c>
      <c r="B17" s="7" t="s">
        <v>15</v>
      </c>
      <c r="C17" s="6" t="s">
        <v>179</v>
      </c>
      <c r="D17" s="7" t="s">
        <v>204</v>
      </c>
      <c r="E17" s="7" t="s">
        <v>205</v>
      </c>
      <c r="F17" s="7" t="s">
        <v>206</v>
      </c>
      <c r="G17" s="7" t="s">
        <v>183</v>
      </c>
      <c r="H17" s="7" t="s">
        <v>207</v>
      </c>
      <c r="I17" s="22" t="s">
        <v>47</v>
      </c>
      <c r="J17" s="6" t="s">
        <v>77</v>
      </c>
      <c r="K17" s="6" t="s">
        <v>115</v>
      </c>
      <c r="L17" s="7" t="s">
        <v>208</v>
      </c>
      <c r="M17" s="21" t="s">
        <v>9</v>
      </c>
      <c r="N17" s="7" t="s">
        <v>117</v>
      </c>
      <c r="O17" s="6" t="s">
        <v>118</v>
      </c>
      <c r="P17" s="7" t="s">
        <v>209</v>
      </c>
    </row>
    <row r="18" customFormat="false" ht="49.25" hidden="false" customHeight="false" outlineLevel="0" collapsed="false">
      <c r="A18" s="6" t="s">
        <v>210</v>
      </c>
      <c r="B18" s="7" t="s">
        <v>15</v>
      </c>
      <c r="C18" s="6" t="s">
        <v>179</v>
      </c>
      <c r="D18" s="7" t="s">
        <v>211</v>
      </c>
      <c r="E18" s="7" t="s">
        <v>212</v>
      </c>
      <c r="F18" s="7" t="s">
        <v>213</v>
      </c>
      <c r="G18" s="7" t="s">
        <v>183</v>
      </c>
      <c r="H18" s="7" t="s">
        <v>214</v>
      </c>
      <c r="I18" s="22" t="s">
        <v>47</v>
      </c>
      <c r="J18" s="6" t="s">
        <v>77</v>
      </c>
      <c r="K18" s="6" t="s">
        <v>115</v>
      </c>
      <c r="L18" s="7" t="s">
        <v>215</v>
      </c>
      <c r="M18" s="21" t="s">
        <v>9</v>
      </c>
      <c r="N18" s="7" t="s">
        <v>117</v>
      </c>
      <c r="O18" s="6" t="s">
        <v>118</v>
      </c>
      <c r="P18" s="7" t="s">
        <v>209</v>
      </c>
    </row>
    <row r="19" customFormat="false" ht="25.35" hidden="false" customHeight="false" outlineLevel="0" collapsed="false">
      <c r="A19" s="6" t="s">
        <v>216</v>
      </c>
      <c r="B19" s="7" t="s">
        <v>15</v>
      </c>
      <c r="C19" s="6" t="s">
        <v>179</v>
      </c>
      <c r="D19" s="7" t="s">
        <v>217</v>
      </c>
      <c r="E19" s="7" t="s">
        <v>122</v>
      </c>
      <c r="F19" s="7" t="s">
        <v>218</v>
      </c>
      <c r="G19" s="7" t="s">
        <v>183</v>
      </c>
      <c r="H19" s="7" t="s">
        <v>219</v>
      </c>
      <c r="I19" s="22" t="s">
        <v>47</v>
      </c>
      <c r="J19" s="6" t="s">
        <v>82</v>
      </c>
      <c r="K19" s="6" t="s">
        <v>115</v>
      </c>
      <c r="L19" s="7" t="s">
        <v>220</v>
      </c>
      <c r="M19" s="21" t="s">
        <v>9</v>
      </c>
      <c r="N19" s="7" t="s">
        <v>117</v>
      </c>
      <c r="O19" s="6" t="s">
        <v>118</v>
      </c>
      <c r="P19" s="7"/>
    </row>
    <row r="20" customFormat="false" ht="85.05" hidden="false" customHeight="false" outlineLevel="0" collapsed="false">
      <c r="A20" s="6" t="s">
        <v>221</v>
      </c>
      <c r="B20" s="7" t="s">
        <v>15</v>
      </c>
      <c r="C20" s="6" t="s">
        <v>179</v>
      </c>
      <c r="D20" s="7" t="s">
        <v>222</v>
      </c>
      <c r="E20" s="7" t="s">
        <v>223</v>
      </c>
      <c r="F20" s="7" t="s">
        <v>224</v>
      </c>
      <c r="G20" s="7" t="s">
        <v>225</v>
      </c>
      <c r="H20" s="7" t="s">
        <v>226</v>
      </c>
      <c r="I20" s="24" t="s">
        <v>49</v>
      </c>
      <c r="J20" s="6" t="s">
        <v>77</v>
      </c>
      <c r="K20" s="6" t="s">
        <v>115</v>
      </c>
      <c r="L20" s="7" t="s">
        <v>227</v>
      </c>
      <c r="M20" s="21" t="s">
        <v>9</v>
      </c>
      <c r="N20" s="7" t="s">
        <v>117</v>
      </c>
      <c r="O20" s="6" t="s">
        <v>118</v>
      </c>
      <c r="P20" s="7"/>
    </row>
    <row r="21" customFormat="false" ht="25.35" hidden="false" customHeight="false" outlineLevel="0" collapsed="false">
      <c r="A21" s="6" t="s">
        <v>228</v>
      </c>
      <c r="B21" s="7" t="s">
        <v>15</v>
      </c>
      <c r="C21" s="6" t="s">
        <v>229</v>
      </c>
      <c r="D21" s="7" t="s">
        <v>230</v>
      </c>
      <c r="E21" s="7" t="s">
        <v>231</v>
      </c>
      <c r="F21" s="7" t="s">
        <v>232</v>
      </c>
      <c r="G21" s="7" t="s">
        <v>233</v>
      </c>
      <c r="H21" s="7" t="s">
        <v>234</v>
      </c>
      <c r="I21" s="24" t="s">
        <v>49</v>
      </c>
      <c r="J21" s="6" t="s">
        <v>77</v>
      </c>
      <c r="K21" s="6" t="s">
        <v>115</v>
      </c>
      <c r="L21" s="7" t="s">
        <v>235</v>
      </c>
      <c r="M21" s="21" t="s">
        <v>9</v>
      </c>
      <c r="N21" s="7" t="s">
        <v>117</v>
      </c>
      <c r="O21" s="6" t="s">
        <v>118</v>
      </c>
      <c r="P21" s="7"/>
    </row>
    <row r="22" customFormat="false" ht="49.25" hidden="false" customHeight="false" outlineLevel="0" collapsed="false">
      <c r="A22" s="6" t="s">
        <v>236</v>
      </c>
      <c r="B22" s="7" t="s">
        <v>15</v>
      </c>
      <c r="C22" s="6" t="s">
        <v>229</v>
      </c>
      <c r="D22" s="7" t="s">
        <v>237</v>
      </c>
      <c r="E22" s="7" t="s">
        <v>231</v>
      </c>
      <c r="F22" s="7" t="s">
        <v>238</v>
      </c>
      <c r="G22" s="7" t="s">
        <v>239</v>
      </c>
      <c r="H22" s="7" t="s">
        <v>240</v>
      </c>
      <c r="I22" s="24" t="s">
        <v>49</v>
      </c>
      <c r="J22" s="6" t="s">
        <v>77</v>
      </c>
      <c r="K22" s="6" t="s">
        <v>115</v>
      </c>
      <c r="L22" s="7" t="s">
        <v>241</v>
      </c>
      <c r="M22" s="21" t="s">
        <v>9</v>
      </c>
      <c r="N22" s="7" t="s">
        <v>117</v>
      </c>
      <c r="O22" s="6" t="s">
        <v>118</v>
      </c>
      <c r="P22" s="7"/>
    </row>
    <row r="23" customFormat="false" ht="61.15" hidden="false" customHeight="false" outlineLevel="0" collapsed="false">
      <c r="A23" s="6" t="s">
        <v>242</v>
      </c>
      <c r="B23" s="7" t="s">
        <v>15</v>
      </c>
      <c r="C23" s="6" t="s">
        <v>229</v>
      </c>
      <c r="D23" s="7" t="s">
        <v>243</v>
      </c>
      <c r="E23" s="7" t="s">
        <v>244</v>
      </c>
      <c r="F23" s="7" t="s">
        <v>245</v>
      </c>
      <c r="G23" s="7" t="s">
        <v>246</v>
      </c>
      <c r="H23" s="7" t="s">
        <v>247</v>
      </c>
      <c r="I23" s="20" t="s">
        <v>46</v>
      </c>
      <c r="J23" s="6" t="s">
        <v>77</v>
      </c>
      <c r="K23" s="6" t="s">
        <v>115</v>
      </c>
      <c r="L23" s="7" t="s">
        <v>248</v>
      </c>
      <c r="M23" s="6" t="s">
        <v>12</v>
      </c>
      <c r="N23" s="7"/>
      <c r="O23" s="6"/>
      <c r="P23" s="7" t="s">
        <v>150</v>
      </c>
    </row>
    <row r="24" customFormat="false" ht="61.15" hidden="false" customHeight="false" outlineLevel="0" collapsed="false">
      <c r="A24" s="6" t="s">
        <v>249</v>
      </c>
      <c r="B24" s="7" t="s">
        <v>15</v>
      </c>
      <c r="C24" s="6" t="s">
        <v>250</v>
      </c>
      <c r="D24" s="7" t="s">
        <v>251</v>
      </c>
      <c r="E24" s="7" t="s">
        <v>252</v>
      </c>
      <c r="F24" s="7" t="s">
        <v>253</v>
      </c>
      <c r="G24" s="7" t="s">
        <v>254</v>
      </c>
      <c r="H24" s="7" t="s">
        <v>255</v>
      </c>
      <c r="I24" s="20" t="s">
        <v>46</v>
      </c>
      <c r="J24" s="6" t="s">
        <v>77</v>
      </c>
      <c r="K24" s="6" t="s">
        <v>115</v>
      </c>
      <c r="L24" s="7" t="s">
        <v>256</v>
      </c>
      <c r="M24" s="21" t="s">
        <v>9</v>
      </c>
      <c r="N24" s="7" t="s">
        <v>117</v>
      </c>
      <c r="O24" s="6" t="s">
        <v>118</v>
      </c>
      <c r="P24" s="7" t="s">
        <v>186</v>
      </c>
    </row>
    <row r="25" customFormat="false" ht="73.1" hidden="false" customHeight="false" outlineLevel="0" collapsed="false">
      <c r="A25" s="6" t="s">
        <v>257</v>
      </c>
      <c r="B25" s="7" t="s">
        <v>15</v>
      </c>
      <c r="C25" s="6" t="s">
        <v>250</v>
      </c>
      <c r="D25" s="7" t="s">
        <v>258</v>
      </c>
      <c r="E25" s="7" t="s">
        <v>259</v>
      </c>
      <c r="F25" s="7" t="s">
        <v>260</v>
      </c>
      <c r="G25" s="7" t="s">
        <v>261</v>
      </c>
      <c r="H25" s="7" t="s">
        <v>262</v>
      </c>
      <c r="I25" s="24" t="s">
        <v>49</v>
      </c>
      <c r="J25" s="6" t="s">
        <v>77</v>
      </c>
      <c r="K25" s="6" t="s">
        <v>115</v>
      </c>
      <c r="L25" s="7" t="s">
        <v>263</v>
      </c>
      <c r="M25" s="21" t="s">
        <v>9</v>
      </c>
      <c r="N25" s="7" t="s">
        <v>117</v>
      </c>
      <c r="O25" s="6" t="s">
        <v>118</v>
      </c>
      <c r="P25" s="7" t="s">
        <v>264</v>
      </c>
    </row>
    <row r="26" customFormat="false" ht="61.15" hidden="false" customHeight="false" outlineLevel="0" collapsed="false">
      <c r="A26" s="6" t="s">
        <v>265</v>
      </c>
      <c r="B26" s="7" t="s">
        <v>15</v>
      </c>
      <c r="C26" s="6" t="s">
        <v>250</v>
      </c>
      <c r="D26" s="7" t="s">
        <v>266</v>
      </c>
      <c r="E26" s="7" t="s">
        <v>267</v>
      </c>
      <c r="F26" s="7" t="s">
        <v>268</v>
      </c>
      <c r="G26" s="7" t="s">
        <v>269</v>
      </c>
      <c r="H26" s="7" t="s">
        <v>270</v>
      </c>
      <c r="I26" s="20" t="s">
        <v>46</v>
      </c>
      <c r="J26" s="6" t="s">
        <v>82</v>
      </c>
      <c r="K26" s="6" t="s">
        <v>115</v>
      </c>
      <c r="L26" s="7" t="s">
        <v>271</v>
      </c>
      <c r="M26" s="6" t="s">
        <v>12</v>
      </c>
      <c r="N26" s="7"/>
      <c r="O26" s="6"/>
      <c r="P26" s="7" t="s">
        <v>170</v>
      </c>
    </row>
    <row r="27" customFormat="false" ht="37.3" hidden="false" customHeight="false" outlineLevel="0" collapsed="false">
      <c r="A27" s="6" t="s">
        <v>272</v>
      </c>
      <c r="B27" s="7" t="s">
        <v>17</v>
      </c>
      <c r="C27" s="6" t="s">
        <v>273</v>
      </c>
      <c r="D27" s="7" t="s">
        <v>274</v>
      </c>
      <c r="E27" s="7" t="s">
        <v>275</v>
      </c>
      <c r="F27" s="7" t="s">
        <v>276</v>
      </c>
      <c r="G27" s="7" t="s">
        <v>277</v>
      </c>
      <c r="H27" s="7" t="s">
        <v>278</v>
      </c>
      <c r="I27" s="20" t="s">
        <v>46</v>
      </c>
      <c r="J27" s="6" t="s">
        <v>77</v>
      </c>
      <c r="K27" s="6" t="s">
        <v>115</v>
      </c>
      <c r="L27" s="7" t="s">
        <v>279</v>
      </c>
      <c r="M27" s="21" t="s">
        <v>9</v>
      </c>
      <c r="N27" s="7" t="s">
        <v>117</v>
      </c>
      <c r="O27" s="6" t="s">
        <v>118</v>
      </c>
      <c r="P27" s="7"/>
    </row>
    <row r="28" customFormat="false" ht="61.15" hidden="false" customHeight="false" outlineLevel="0" collapsed="false">
      <c r="A28" s="6" t="s">
        <v>280</v>
      </c>
      <c r="B28" s="7" t="s">
        <v>17</v>
      </c>
      <c r="C28" s="6" t="s">
        <v>273</v>
      </c>
      <c r="D28" s="7" t="s">
        <v>281</v>
      </c>
      <c r="E28" s="7" t="s">
        <v>282</v>
      </c>
      <c r="F28" s="7" t="s">
        <v>283</v>
      </c>
      <c r="G28" s="7" t="s">
        <v>284</v>
      </c>
      <c r="H28" s="7" t="s">
        <v>285</v>
      </c>
      <c r="I28" s="20" t="s">
        <v>46</v>
      </c>
      <c r="J28" s="6" t="s">
        <v>77</v>
      </c>
      <c r="K28" s="6" t="s">
        <v>115</v>
      </c>
      <c r="L28" s="7" t="s">
        <v>286</v>
      </c>
      <c r="M28" s="21" t="s">
        <v>9</v>
      </c>
      <c r="N28" s="7" t="s">
        <v>117</v>
      </c>
      <c r="O28" s="6" t="s">
        <v>118</v>
      </c>
      <c r="P28" s="7" t="s">
        <v>186</v>
      </c>
    </row>
    <row r="29" customFormat="false" ht="61.15" hidden="false" customHeight="false" outlineLevel="0" collapsed="false">
      <c r="A29" s="6" t="s">
        <v>287</v>
      </c>
      <c r="B29" s="7" t="s">
        <v>17</v>
      </c>
      <c r="C29" s="6" t="s">
        <v>273</v>
      </c>
      <c r="D29" s="7" t="s">
        <v>288</v>
      </c>
      <c r="E29" s="7" t="s">
        <v>289</v>
      </c>
      <c r="F29" s="7" t="s">
        <v>290</v>
      </c>
      <c r="G29" s="7" t="s">
        <v>291</v>
      </c>
      <c r="H29" s="7" t="s">
        <v>292</v>
      </c>
      <c r="I29" s="20" t="s">
        <v>46</v>
      </c>
      <c r="J29" s="6" t="s">
        <v>82</v>
      </c>
      <c r="K29" s="6" t="s">
        <v>115</v>
      </c>
      <c r="L29" s="7" t="s">
        <v>293</v>
      </c>
      <c r="M29" s="6" t="s">
        <v>12</v>
      </c>
      <c r="N29" s="7"/>
      <c r="O29" s="6"/>
      <c r="P29" s="7" t="s">
        <v>150</v>
      </c>
    </row>
    <row r="30" customFormat="false" ht="61.15" hidden="false" customHeight="false" outlineLevel="0" collapsed="false">
      <c r="A30" s="6" t="s">
        <v>294</v>
      </c>
      <c r="B30" s="7" t="s">
        <v>17</v>
      </c>
      <c r="C30" s="6" t="s">
        <v>273</v>
      </c>
      <c r="D30" s="7" t="s">
        <v>295</v>
      </c>
      <c r="E30" s="7" t="s">
        <v>296</v>
      </c>
      <c r="F30" s="7" t="s">
        <v>297</v>
      </c>
      <c r="G30" s="7" t="s">
        <v>298</v>
      </c>
      <c r="H30" s="7" t="s">
        <v>299</v>
      </c>
      <c r="I30" s="22" t="s">
        <v>47</v>
      </c>
      <c r="J30" s="6" t="s">
        <v>82</v>
      </c>
      <c r="K30" s="6" t="s">
        <v>115</v>
      </c>
      <c r="L30" s="7" t="s">
        <v>300</v>
      </c>
      <c r="M30" s="6" t="s">
        <v>12</v>
      </c>
      <c r="N30" s="7"/>
      <c r="O30" s="6"/>
      <c r="P30" s="7" t="s">
        <v>150</v>
      </c>
    </row>
    <row r="31" customFormat="false" ht="49.25" hidden="false" customHeight="false" outlineLevel="0" collapsed="false">
      <c r="A31" s="6" t="s">
        <v>301</v>
      </c>
      <c r="B31" s="7" t="s">
        <v>17</v>
      </c>
      <c r="C31" s="6" t="s">
        <v>273</v>
      </c>
      <c r="D31" s="7" t="s">
        <v>302</v>
      </c>
      <c r="E31" s="7" t="s">
        <v>303</v>
      </c>
      <c r="F31" s="7" t="s">
        <v>304</v>
      </c>
      <c r="G31" s="7" t="s">
        <v>305</v>
      </c>
      <c r="H31" s="7" t="s">
        <v>306</v>
      </c>
      <c r="I31" s="20" t="s">
        <v>46</v>
      </c>
      <c r="J31" s="6" t="s">
        <v>77</v>
      </c>
      <c r="K31" s="6" t="s">
        <v>115</v>
      </c>
      <c r="L31" s="7" t="s">
        <v>307</v>
      </c>
      <c r="M31" s="21" t="s">
        <v>9</v>
      </c>
      <c r="N31" s="7" t="s">
        <v>117</v>
      </c>
      <c r="O31" s="6" t="s">
        <v>118</v>
      </c>
      <c r="P31" s="7" t="s">
        <v>308</v>
      </c>
    </row>
    <row r="32" customFormat="false" ht="25.35" hidden="false" customHeight="false" outlineLevel="0" collapsed="false">
      <c r="A32" s="6" t="s">
        <v>309</v>
      </c>
      <c r="B32" s="7" t="s">
        <v>17</v>
      </c>
      <c r="C32" s="6" t="s">
        <v>273</v>
      </c>
      <c r="D32" s="7" t="s">
        <v>310</v>
      </c>
      <c r="E32" s="7" t="s">
        <v>231</v>
      </c>
      <c r="F32" s="7" t="s">
        <v>311</v>
      </c>
      <c r="G32" s="7" t="s">
        <v>312</v>
      </c>
      <c r="H32" s="7" t="s">
        <v>313</v>
      </c>
      <c r="I32" s="22" t="s">
        <v>47</v>
      </c>
      <c r="J32" s="6" t="s">
        <v>82</v>
      </c>
      <c r="K32" s="6" t="s">
        <v>115</v>
      </c>
      <c r="L32" s="7" t="s">
        <v>314</v>
      </c>
      <c r="M32" s="21" t="s">
        <v>9</v>
      </c>
      <c r="N32" s="7" t="s">
        <v>117</v>
      </c>
      <c r="O32" s="6" t="s">
        <v>118</v>
      </c>
      <c r="P32" s="7"/>
    </row>
    <row r="33" customFormat="false" ht="37.3" hidden="false" customHeight="false" outlineLevel="0" collapsed="false">
      <c r="A33" s="6" t="s">
        <v>315</v>
      </c>
      <c r="B33" s="7" t="s">
        <v>17</v>
      </c>
      <c r="C33" s="6" t="s">
        <v>273</v>
      </c>
      <c r="D33" s="7" t="s">
        <v>316</v>
      </c>
      <c r="E33" s="7" t="s">
        <v>317</v>
      </c>
      <c r="F33" s="7" t="s">
        <v>318</v>
      </c>
      <c r="G33" s="7" t="s">
        <v>319</v>
      </c>
      <c r="H33" s="7" t="s">
        <v>320</v>
      </c>
      <c r="I33" s="20" t="s">
        <v>46</v>
      </c>
      <c r="J33" s="6" t="s">
        <v>77</v>
      </c>
      <c r="K33" s="6" t="s">
        <v>115</v>
      </c>
      <c r="L33" s="7" t="s">
        <v>321</v>
      </c>
      <c r="M33" s="21" t="s">
        <v>9</v>
      </c>
      <c r="N33" s="7" t="s">
        <v>117</v>
      </c>
      <c r="O33" s="6" t="s">
        <v>118</v>
      </c>
      <c r="P33" s="7"/>
    </row>
    <row r="34" customFormat="false" ht="61.15" hidden="false" customHeight="false" outlineLevel="0" collapsed="false">
      <c r="A34" s="6" t="s">
        <v>74</v>
      </c>
      <c r="B34" s="7" t="s">
        <v>17</v>
      </c>
      <c r="C34" s="6" t="s">
        <v>322</v>
      </c>
      <c r="D34" s="7" t="s">
        <v>323</v>
      </c>
      <c r="E34" s="7" t="s">
        <v>324</v>
      </c>
      <c r="F34" s="7" t="s">
        <v>325</v>
      </c>
      <c r="G34" s="7" t="s">
        <v>326</v>
      </c>
      <c r="H34" s="7" t="s">
        <v>327</v>
      </c>
      <c r="I34" s="20" t="s">
        <v>46</v>
      </c>
      <c r="J34" s="6" t="s">
        <v>77</v>
      </c>
      <c r="K34" s="6" t="s">
        <v>115</v>
      </c>
      <c r="L34" s="7" t="s">
        <v>328</v>
      </c>
      <c r="M34" s="23" t="s">
        <v>10</v>
      </c>
      <c r="N34" s="7" t="s">
        <v>117</v>
      </c>
      <c r="O34" s="6" t="s">
        <v>118</v>
      </c>
      <c r="P34" s="7" t="s">
        <v>329</v>
      </c>
    </row>
    <row r="35" customFormat="false" ht="25.35" hidden="false" customHeight="false" outlineLevel="0" collapsed="false">
      <c r="A35" s="6" t="s">
        <v>330</v>
      </c>
      <c r="B35" s="7" t="s">
        <v>17</v>
      </c>
      <c r="C35" s="6" t="s">
        <v>322</v>
      </c>
      <c r="D35" s="7" t="s">
        <v>331</v>
      </c>
      <c r="E35" s="7" t="s">
        <v>332</v>
      </c>
      <c r="F35" s="7" t="s">
        <v>333</v>
      </c>
      <c r="G35" s="7" t="s">
        <v>334</v>
      </c>
      <c r="H35" s="7" t="s">
        <v>335</v>
      </c>
      <c r="I35" s="22" t="s">
        <v>47</v>
      </c>
      <c r="J35" s="6" t="s">
        <v>77</v>
      </c>
      <c r="K35" s="6" t="s">
        <v>115</v>
      </c>
      <c r="L35" s="7" t="s">
        <v>336</v>
      </c>
      <c r="M35" s="21" t="s">
        <v>9</v>
      </c>
      <c r="N35" s="7" t="s">
        <v>117</v>
      </c>
      <c r="O35" s="6" t="s">
        <v>118</v>
      </c>
      <c r="P35" s="7"/>
    </row>
    <row r="36" customFormat="false" ht="61.15" hidden="false" customHeight="false" outlineLevel="0" collapsed="false">
      <c r="A36" s="6" t="s">
        <v>337</v>
      </c>
      <c r="B36" s="7" t="s">
        <v>17</v>
      </c>
      <c r="C36" s="6" t="s">
        <v>322</v>
      </c>
      <c r="D36" s="7" t="s">
        <v>338</v>
      </c>
      <c r="E36" s="7" t="s">
        <v>332</v>
      </c>
      <c r="F36" s="7" t="s">
        <v>339</v>
      </c>
      <c r="G36" s="7" t="s">
        <v>340</v>
      </c>
      <c r="H36" s="7" t="s">
        <v>341</v>
      </c>
      <c r="I36" s="24" t="s">
        <v>49</v>
      </c>
      <c r="J36" s="6" t="s">
        <v>77</v>
      </c>
      <c r="K36" s="6" t="s">
        <v>115</v>
      </c>
      <c r="L36" s="7" t="s">
        <v>342</v>
      </c>
      <c r="M36" s="21" t="s">
        <v>9</v>
      </c>
      <c r="N36" s="7" t="s">
        <v>117</v>
      </c>
      <c r="O36" s="6" t="s">
        <v>118</v>
      </c>
      <c r="P36" s="7" t="s">
        <v>264</v>
      </c>
    </row>
    <row r="37" customFormat="false" ht="49.25" hidden="false" customHeight="false" outlineLevel="0" collapsed="false">
      <c r="A37" s="6" t="s">
        <v>343</v>
      </c>
      <c r="B37" s="7" t="s">
        <v>17</v>
      </c>
      <c r="C37" s="6" t="s">
        <v>322</v>
      </c>
      <c r="D37" s="7" t="s">
        <v>344</v>
      </c>
      <c r="E37" s="7" t="s">
        <v>332</v>
      </c>
      <c r="F37" s="7" t="s">
        <v>345</v>
      </c>
      <c r="G37" s="7" t="s">
        <v>346</v>
      </c>
      <c r="H37" s="7" t="s">
        <v>347</v>
      </c>
      <c r="I37" s="25" t="s">
        <v>48</v>
      </c>
      <c r="J37" s="6" t="s">
        <v>77</v>
      </c>
      <c r="K37" s="6" t="s">
        <v>115</v>
      </c>
      <c r="L37" s="7" t="s">
        <v>348</v>
      </c>
      <c r="M37" s="21" t="s">
        <v>9</v>
      </c>
      <c r="N37" s="7" t="s">
        <v>117</v>
      </c>
      <c r="O37" s="6" t="s">
        <v>118</v>
      </c>
      <c r="P37" s="7" t="s">
        <v>264</v>
      </c>
    </row>
    <row r="38" customFormat="false" ht="25.35" hidden="false" customHeight="false" outlineLevel="0" collapsed="false">
      <c r="A38" s="6" t="s">
        <v>349</v>
      </c>
      <c r="B38" s="7" t="s">
        <v>17</v>
      </c>
      <c r="C38" s="6" t="s">
        <v>322</v>
      </c>
      <c r="D38" s="7" t="s">
        <v>350</v>
      </c>
      <c r="E38" s="7" t="s">
        <v>332</v>
      </c>
      <c r="F38" s="7" t="s">
        <v>351</v>
      </c>
      <c r="G38" s="7" t="s">
        <v>352</v>
      </c>
      <c r="H38" s="7" t="s">
        <v>353</v>
      </c>
      <c r="I38" s="20" t="s">
        <v>46</v>
      </c>
      <c r="J38" s="6" t="s">
        <v>77</v>
      </c>
      <c r="K38" s="6" t="s">
        <v>115</v>
      </c>
      <c r="L38" s="7" t="s">
        <v>354</v>
      </c>
      <c r="M38" s="21" t="s">
        <v>9</v>
      </c>
      <c r="N38" s="7" t="s">
        <v>117</v>
      </c>
      <c r="O38" s="6" t="s">
        <v>118</v>
      </c>
      <c r="P38" s="7"/>
    </row>
    <row r="39" customFormat="false" ht="61.15" hidden="false" customHeight="false" outlineLevel="0" collapsed="false">
      <c r="A39" s="6" t="s">
        <v>355</v>
      </c>
      <c r="B39" s="7" t="s">
        <v>17</v>
      </c>
      <c r="C39" s="6" t="s">
        <v>322</v>
      </c>
      <c r="D39" s="7" t="s">
        <v>356</v>
      </c>
      <c r="E39" s="7" t="s">
        <v>357</v>
      </c>
      <c r="F39" s="7" t="s">
        <v>358</v>
      </c>
      <c r="G39" s="7" t="s">
        <v>359</v>
      </c>
      <c r="H39" s="7" t="s">
        <v>360</v>
      </c>
      <c r="I39" s="20" t="s">
        <v>46</v>
      </c>
      <c r="J39" s="6" t="s">
        <v>77</v>
      </c>
      <c r="K39" s="6" t="s">
        <v>115</v>
      </c>
      <c r="L39" s="7" t="s">
        <v>361</v>
      </c>
      <c r="M39" s="21" t="s">
        <v>9</v>
      </c>
      <c r="N39" s="7" t="s">
        <v>117</v>
      </c>
      <c r="O39" s="6" t="s">
        <v>118</v>
      </c>
      <c r="P39" s="7"/>
    </row>
    <row r="40" customFormat="false" ht="25.35" hidden="false" customHeight="false" outlineLevel="0" collapsed="false">
      <c r="A40" s="6" t="s">
        <v>362</v>
      </c>
      <c r="B40" s="7" t="s">
        <v>17</v>
      </c>
      <c r="C40" s="6" t="s">
        <v>322</v>
      </c>
      <c r="D40" s="7" t="s">
        <v>363</v>
      </c>
      <c r="E40" s="7" t="s">
        <v>332</v>
      </c>
      <c r="F40" s="7" t="s">
        <v>364</v>
      </c>
      <c r="G40" s="7" t="s">
        <v>365</v>
      </c>
      <c r="H40" s="7" t="s">
        <v>366</v>
      </c>
      <c r="I40" s="20" t="s">
        <v>46</v>
      </c>
      <c r="J40" s="6" t="s">
        <v>77</v>
      </c>
      <c r="K40" s="6" t="s">
        <v>115</v>
      </c>
      <c r="L40" s="7" t="s">
        <v>367</v>
      </c>
      <c r="M40" s="21" t="s">
        <v>9</v>
      </c>
      <c r="N40" s="7" t="s">
        <v>117</v>
      </c>
      <c r="O40" s="6" t="s">
        <v>118</v>
      </c>
      <c r="P40" s="7"/>
    </row>
    <row r="41" customFormat="false" ht="25.35" hidden="false" customHeight="false" outlineLevel="0" collapsed="false">
      <c r="A41" s="6" t="s">
        <v>368</v>
      </c>
      <c r="B41" s="7" t="s">
        <v>17</v>
      </c>
      <c r="C41" s="6" t="s">
        <v>322</v>
      </c>
      <c r="D41" s="7" t="s">
        <v>369</v>
      </c>
      <c r="E41" s="7" t="s">
        <v>370</v>
      </c>
      <c r="F41" s="7" t="s">
        <v>371</v>
      </c>
      <c r="G41" s="7" t="s">
        <v>372</v>
      </c>
      <c r="H41" s="7" t="s">
        <v>373</v>
      </c>
      <c r="I41" s="22" t="s">
        <v>47</v>
      </c>
      <c r="J41" s="6" t="s">
        <v>82</v>
      </c>
      <c r="K41" s="6" t="s">
        <v>115</v>
      </c>
      <c r="L41" s="7" t="s">
        <v>374</v>
      </c>
      <c r="M41" s="21" t="s">
        <v>9</v>
      </c>
      <c r="N41" s="7" t="s">
        <v>117</v>
      </c>
      <c r="O41" s="6" t="s">
        <v>118</v>
      </c>
      <c r="P41" s="7"/>
    </row>
    <row r="42" customFormat="false" ht="49.25" hidden="false" customHeight="false" outlineLevel="0" collapsed="false">
      <c r="A42" s="6" t="s">
        <v>375</v>
      </c>
      <c r="B42" s="7" t="s">
        <v>17</v>
      </c>
      <c r="C42" s="6" t="s">
        <v>322</v>
      </c>
      <c r="D42" s="7" t="s">
        <v>376</v>
      </c>
      <c r="E42" s="7" t="s">
        <v>377</v>
      </c>
      <c r="F42" s="7" t="s">
        <v>378</v>
      </c>
      <c r="G42" s="7" t="s">
        <v>379</v>
      </c>
      <c r="H42" s="7" t="s">
        <v>380</v>
      </c>
      <c r="I42" s="20" t="s">
        <v>46</v>
      </c>
      <c r="J42" s="6" t="s">
        <v>82</v>
      </c>
      <c r="K42" s="6" t="s">
        <v>115</v>
      </c>
      <c r="L42" s="7" t="s">
        <v>381</v>
      </c>
      <c r="M42" s="21" t="s">
        <v>9</v>
      </c>
      <c r="N42" s="7" t="s">
        <v>117</v>
      </c>
      <c r="O42" s="6" t="s">
        <v>118</v>
      </c>
      <c r="P42" s="7" t="s">
        <v>308</v>
      </c>
    </row>
    <row r="43" customFormat="false" ht="49.25" hidden="false" customHeight="false" outlineLevel="0" collapsed="false">
      <c r="A43" s="6" t="s">
        <v>382</v>
      </c>
      <c r="B43" s="7" t="s">
        <v>17</v>
      </c>
      <c r="C43" s="6" t="s">
        <v>383</v>
      </c>
      <c r="D43" s="7" t="s">
        <v>384</v>
      </c>
      <c r="E43" s="7" t="s">
        <v>385</v>
      </c>
      <c r="F43" s="7" t="s">
        <v>194</v>
      </c>
      <c r="G43" s="7" t="s">
        <v>386</v>
      </c>
      <c r="H43" s="7" t="s">
        <v>387</v>
      </c>
      <c r="I43" s="20" t="s">
        <v>46</v>
      </c>
      <c r="J43" s="6" t="s">
        <v>77</v>
      </c>
      <c r="K43" s="6" t="s">
        <v>115</v>
      </c>
      <c r="L43" s="7" t="s">
        <v>388</v>
      </c>
      <c r="M43" s="21" t="s">
        <v>9</v>
      </c>
      <c r="N43" s="7" t="s">
        <v>117</v>
      </c>
      <c r="O43" s="6" t="s">
        <v>118</v>
      </c>
      <c r="P43" s="7"/>
    </row>
    <row r="44" customFormat="false" ht="85.05" hidden="false" customHeight="false" outlineLevel="0" collapsed="false">
      <c r="A44" s="6" t="s">
        <v>389</v>
      </c>
      <c r="B44" s="7" t="s">
        <v>17</v>
      </c>
      <c r="C44" s="6" t="s">
        <v>383</v>
      </c>
      <c r="D44" s="7" t="s">
        <v>390</v>
      </c>
      <c r="E44" s="7" t="s">
        <v>391</v>
      </c>
      <c r="F44" s="7" t="s">
        <v>392</v>
      </c>
      <c r="G44" s="7" t="s">
        <v>393</v>
      </c>
      <c r="H44" s="7" t="s">
        <v>394</v>
      </c>
      <c r="I44" s="20" t="s">
        <v>46</v>
      </c>
      <c r="J44" s="6" t="s">
        <v>77</v>
      </c>
      <c r="K44" s="6" t="s">
        <v>115</v>
      </c>
      <c r="L44" s="7" t="s">
        <v>395</v>
      </c>
      <c r="M44" s="21" t="s">
        <v>9</v>
      </c>
      <c r="N44" s="7" t="s">
        <v>117</v>
      </c>
      <c r="O44" s="6" t="s">
        <v>118</v>
      </c>
      <c r="P44" s="7"/>
    </row>
    <row r="45" customFormat="false" ht="25.35" hidden="false" customHeight="false" outlineLevel="0" collapsed="false">
      <c r="A45" s="6" t="s">
        <v>396</v>
      </c>
      <c r="B45" s="7" t="s">
        <v>17</v>
      </c>
      <c r="C45" s="6" t="s">
        <v>383</v>
      </c>
      <c r="D45" s="7" t="s">
        <v>397</v>
      </c>
      <c r="E45" s="7" t="s">
        <v>398</v>
      </c>
      <c r="F45" s="7" t="s">
        <v>399</v>
      </c>
      <c r="G45" s="7" t="s">
        <v>400</v>
      </c>
      <c r="H45" s="7" t="s">
        <v>401</v>
      </c>
      <c r="I45" s="24" t="s">
        <v>49</v>
      </c>
      <c r="J45" s="6" t="s">
        <v>77</v>
      </c>
      <c r="K45" s="6" t="s">
        <v>115</v>
      </c>
      <c r="L45" s="7" t="s">
        <v>402</v>
      </c>
      <c r="M45" s="21" t="s">
        <v>9</v>
      </c>
      <c r="N45" s="7" t="s">
        <v>117</v>
      </c>
      <c r="O45" s="6" t="s">
        <v>118</v>
      </c>
      <c r="P45" s="7"/>
    </row>
    <row r="46" customFormat="false" ht="73.1" hidden="false" customHeight="false" outlineLevel="0" collapsed="false">
      <c r="A46" s="6" t="s">
        <v>403</v>
      </c>
      <c r="B46" s="7" t="s">
        <v>17</v>
      </c>
      <c r="C46" s="6" t="s">
        <v>383</v>
      </c>
      <c r="D46" s="7" t="s">
        <v>404</v>
      </c>
      <c r="E46" s="7" t="s">
        <v>405</v>
      </c>
      <c r="F46" s="7" t="s">
        <v>406</v>
      </c>
      <c r="G46" s="7" t="s">
        <v>407</v>
      </c>
      <c r="H46" s="7" t="s">
        <v>408</v>
      </c>
      <c r="I46" s="20" t="s">
        <v>46</v>
      </c>
      <c r="J46" s="6" t="s">
        <v>82</v>
      </c>
      <c r="K46" s="6" t="s">
        <v>115</v>
      </c>
      <c r="L46" s="7" t="s">
        <v>409</v>
      </c>
      <c r="M46" s="6" t="s">
        <v>12</v>
      </c>
      <c r="N46" s="7"/>
      <c r="O46" s="6"/>
      <c r="P46" s="7" t="s">
        <v>410</v>
      </c>
    </row>
    <row r="47" customFormat="false" ht="49.25" hidden="false" customHeight="false" outlineLevel="0" collapsed="false">
      <c r="A47" s="6" t="s">
        <v>411</v>
      </c>
      <c r="B47" s="7" t="s">
        <v>17</v>
      </c>
      <c r="C47" s="6" t="s">
        <v>412</v>
      </c>
      <c r="D47" s="7" t="s">
        <v>413</v>
      </c>
      <c r="E47" s="7" t="s">
        <v>414</v>
      </c>
      <c r="F47" s="7" t="s">
        <v>415</v>
      </c>
      <c r="G47" s="7" t="s">
        <v>416</v>
      </c>
      <c r="H47" s="7" t="s">
        <v>417</v>
      </c>
      <c r="I47" s="20" t="s">
        <v>46</v>
      </c>
      <c r="J47" s="6" t="s">
        <v>77</v>
      </c>
      <c r="K47" s="6" t="s">
        <v>115</v>
      </c>
      <c r="L47" s="7" t="s">
        <v>418</v>
      </c>
      <c r="M47" s="21" t="s">
        <v>9</v>
      </c>
      <c r="N47" s="7" t="s">
        <v>117</v>
      </c>
      <c r="O47" s="6" t="s">
        <v>118</v>
      </c>
      <c r="P47" s="7" t="s">
        <v>308</v>
      </c>
    </row>
    <row r="48" customFormat="false" ht="73.1" hidden="false" customHeight="false" outlineLevel="0" collapsed="false">
      <c r="A48" s="6" t="s">
        <v>419</v>
      </c>
      <c r="B48" s="7" t="s">
        <v>17</v>
      </c>
      <c r="C48" s="6" t="s">
        <v>412</v>
      </c>
      <c r="D48" s="7" t="s">
        <v>420</v>
      </c>
      <c r="E48" s="7" t="s">
        <v>332</v>
      </c>
      <c r="F48" s="7" t="s">
        <v>421</v>
      </c>
      <c r="G48" s="7" t="s">
        <v>422</v>
      </c>
      <c r="H48" s="7" t="s">
        <v>423</v>
      </c>
      <c r="I48" s="20" t="s">
        <v>46</v>
      </c>
      <c r="J48" s="6" t="s">
        <v>77</v>
      </c>
      <c r="K48" s="6" t="s">
        <v>115</v>
      </c>
      <c r="L48" s="7" t="s">
        <v>424</v>
      </c>
      <c r="M48" s="21" t="s">
        <v>9</v>
      </c>
      <c r="N48" s="7" t="s">
        <v>117</v>
      </c>
      <c r="O48" s="6" t="s">
        <v>118</v>
      </c>
      <c r="P48" s="7" t="s">
        <v>308</v>
      </c>
    </row>
    <row r="49" customFormat="false" ht="61.15" hidden="false" customHeight="false" outlineLevel="0" collapsed="false">
      <c r="A49" s="6" t="s">
        <v>425</v>
      </c>
      <c r="B49" s="7" t="s">
        <v>19</v>
      </c>
      <c r="C49" s="6" t="s">
        <v>426</v>
      </c>
      <c r="D49" s="7" t="s">
        <v>427</v>
      </c>
      <c r="E49" s="7" t="s">
        <v>428</v>
      </c>
      <c r="F49" s="7" t="s">
        <v>429</v>
      </c>
      <c r="G49" s="7" t="s">
        <v>430</v>
      </c>
      <c r="H49" s="7" t="s">
        <v>431</v>
      </c>
      <c r="I49" s="20" t="s">
        <v>46</v>
      </c>
      <c r="J49" s="6" t="s">
        <v>77</v>
      </c>
      <c r="K49" s="6" t="s">
        <v>115</v>
      </c>
      <c r="L49" s="7" t="s">
        <v>432</v>
      </c>
      <c r="M49" s="6" t="s">
        <v>12</v>
      </c>
      <c r="N49" s="7"/>
      <c r="O49" s="6"/>
      <c r="P49" s="7" t="s">
        <v>150</v>
      </c>
    </row>
    <row r="50" customFormat="false" ht="61.15" hidden="false" customHeight="false" outlineLevel="0" collapsed="false">
      <c r="A50" s="6" t="s">
        <v>433</v>
      </c>
      <c r="B50" s="7" t="s">
        <v>19</v>
      </c>
      <c r="C50" s="6" t="s">
        <v>426</v>
      </c>
      <c r="D50" s="7" t="s">
        <v>434</v>
      </c>
      <c r="E50" s="7" t="s">
        <v>435</v>
      </c>
      <c r="F50" s="7" t="s">
        <v>436</v>
      </c>
      <c r="G50" s="7" t="s">
        <v>437</v>
      </c>
      <c r="H50" s="7" t="s">
        <v>438</v>
      </c>
      <c r="I50" s="22" t="s">
        <v>47</v>
      </c>
      <c r="J50" s="6" t="s">
        <v>77</v>
      </c>
      <c r="K50" s="6" t="s">
        <v>115</v>
      </c>
      <c r="L50" s="7" t="s">
        <v>432</v>
      </c>
      <c r="M50" s="6" t="s">
        <v>12</v>
      </c>
      <c r="N50" s="7"/>
      <c r="O50" s="6"/>
      <c r="P50" s="7" t="s">
        <v>150</v>
      </c>
    </row>
    <row r="51" customFormat="false" ht="61.15" hidden="false" customHeight="false" outlineLevel="0" collapsed="false">
      <c r="A51" s="6" t="s">
        <v>439</v>
      </c>
      <c r="B51" s="7" t="s">
        <v>19</v>
      </c>
      <c r="C51" s="6" t="s">
        <v>426</v>
      </c>
      <c r="D51" s="7" t="s">
        <v>440</v>
      </c>
      <c r="E51" s="7" t="s">
        <v>441</v>
      </c>
      <c r="F51" s="7" t="s">
        <v>442</v>
      </c>
      <c r="G51" s="7" t="s">
        <v>443</v>
      </c>
      <c r="H51" s="7" t="s">
        <v>444</v>
      </c>
      <c r="I51" s="25" t="s">
        <v>48</v>
      </c>
      <c r="J51" s="6" t="s">
        <v>77</v>
      </c>
      <c r="K51" s="6" t="s">
        <v>115</v>
      </c>
      <c r="L51" s="7" t="s">
        <v>432</v>
      </c>
      <c r="M51" s="6" t="s">
        <v>12</v>
      </c>
      <c r="N51" s="7"/>
      <c r="O51" s="6"/>
      <c r="P51" s="7" t="s">
        <v>150</v>
      </c>
    </row>
    <row r="52" customFormat="false" ht="61.15" hidden="false" customHeight="false" outlineLevel="0" collapsed="false">
      <c r="A52" s="6" t="s">
        <v>445</v>
      </c>
      <c r="B52" s="7" t="s">
        <v>19</v>
      </c>
      <c r="C52" s="6" t="s">
        <v>426</v>
      </c>
      <c r="D52" s="7" t="s">
        <v>446</v>
      </c>
      <c r="E52" s="7" t="s">
        <v>447</v>
      </c>
      <c r="F52" s="7" t="s">
        <v>448</v>
      </c>
      <c r="G52" s="7" t="s">
        <v>449</v>
      </c>
      <c r="H52" s="7" t="s">
        <v>450</v>
      </c>
      <c r="I52" s="25" t="s">
        <v>48</v>
      </c>
      <c r="J52" s="6" t="s">
        <v>82</v>
      </c>
      <c r="K52" s="6" t="s">
        <v>115</v>
      </c>
      <c r="L52" s="7" t="s">
        <v>432</v>
      </c>
      <c r="M52" s="6" t="s">
        <v>12</v>
      </c>
      <c r="N52" s="7"/>
      <c r="O52" s="6"/>
      <c r="P52" s="7" t="s">
        <v>150</v>
      </c>
    </row>
    <row r="53" customFormat="false" ht="61.15" hidden="false" customHeight="false" outlineLevel="0" collapsed="false">
      <c r="A53" s="6" t="s">
        <v>451</v>
      </c>
      <c r="B53" s="7" t="s">
        <v>19</v>
      </c>
      <c r="C53" s="6" t="s">
        <v>426</v>
      </c>
      <c r="D53" s="7" t="s">
        <v>452</v>
      </c>
      <c r="E53" s="7" t="s">
        <v>453</v>
      </c>
      <c r="F53" s="7" t="s">
        <v>454</v>
      </c>
      <c r="G53" s="7" t="s">
        <v>455</v>
      </c>
      <c r="H53" s="7" t="s">
        <v>456</v>
      </c>
      <c r="I53" s="20" t="s">
        <v>46</v>
      </c>
      <c r="J53" s="6" t="s">
        <v>77</v>
      </c>
      <c r="K53" s="6" t="s">
        <v>115</v>
      </c>
      <c r="L53" s="7" t="s">
        <v>432</v>
      </c>
      <c r="M53" s="6" t="s">
        <v>12</v>
      </c>
      <c r="N53" s="7"/>
      <c r="O53" s="6"/>
      <c r="P53" s="7" t="s">
        <v>150</v>
      </c>
    </row>
    <row r="54" customFormat="false" ht="97" hidden="false" customHeight="false" outlineLevel="0" collapsed="false">
      <c r="A54" s="6" t="s">
        <v>457</v>
      </c>
      <c r="B54" s="7" t="s">
        <v>19</v>
      </c>
      <c r="C54" s="6" t="s">
        <v>458</v>
      </c>
      <c r="D54" s="7" t="s">
        <v>459</v>
      </c>
      <c r="E54" s="7" t="s">
        <v>460</v>
      </c>
      <c r="F54" s="7" t="s">
        <v>461</v>
      </c>
      <c r="G54" s="7" t="s">
        <v>462</v>
      </c>
      <c r="H54" s="7" t="s">
        <v>463</v>
      </c>
      <c r="I54" s="20" t="s">
        <v>46</v>
      </c>
      <c r="J54" s="6" t="s">
        <v>77</v>
      </c>
      <c r="K54" s="6" t="s">
        <v>115</v>
      </c>
      <c r="L54" s="7" t="s">
        <v>464</v>
      </c>
      <c r="M54" s="21" t="s">
        <v>9</v>
      </c>
      <c r="N54" s="7" t="s">
        <v>117</v>
      </c>
      <c r="O54" s="6" t="s">
        <v>118</v>
      </c>
      <c r="P54" s="7" t="s">
        <v>308</v>
      </c>
    </row>
    <row r="55" customFormat="false" ht="49.25" hidden="false" customHeight="false" outlineLevel="0" collapsed="false">
      <c r="A55" s="6" t="s">
        <v>465</v>
      </c>
      <c r="B55" s="7" t="s">
        <v>19</v>
      </c>
      <c r="C55" s="6" t="s">
        <v>458</v>
      </c>
      <c r="D55" s="7" t="s">
        <v>466</v>
      </c>
      <c r="E55" s="7" t="s">
        <v>467</v>
      </c>
      <c r="F55" s="7" t="s">
        <v>468</v>
      </c>
      <c r="G55" s="7" t="s">
        <v>469</v>
      </c>
      <c r="H55" s="7" t="s">
        <v>470</v>
      </c>
      <c r="I55" s="20" t="s">
        <v>46</v>
      </c>
      <c r="J55" s="6" t="s">
        <v>77</v>
      </c>
      <c r="K55" s="6" t="s">
        <v>115</v>
      </c>
      <c r="L55" s="7" t="s">
        <v>471</v>
      </c>
      <c r="M55" s="21" t="s">
        <v>9</v>
      </c>
      <c r="N55" s="7" t="s">
        <v>117</v>
      </c>
      <c r="O55" s="6" t="s">
        <v>118</v>
      </c>
      <c r="P55" s="7" t="s">
        <v>308</v>
      </c>
    </row>
    <row r="56" customFormat="false" ht="25.35" hidden="false" customHeight="false" outlineLevel="0" collapsed="false">
      <c r="A56" s="6" t="s">
        <v>472</v>
      </c>
      <c r="B56" s="7" t="s">
        <v>19</v>
      </c>
      <c r="C56" s="6" t="s">
        <v>458</v>
      </c>
      <c r="D56" s="7" t="s">
        <v>473</v>
      </c>
      <c r="E56" s="7" t="s">
        <v>474</v>
      </c>
      <c r="F56" s="7" t="s">
        <v>475</v>
      </c>
      <c r="G56" s="7" t="s">
        <v>476</v>
      </c>
      <c r="H56" s="7" t="s">
        <v>477</v>
      </c>
      <c r="I56" s="22" t="s">
        <v>47</v>
      </c>
      <c r="J56" s="6" t="s">
        <v>77</v>
      </c>
      <c r="K56" s="6" t="s">
        <v>115</v>
      </c>
      <c r="L56" s="7" t="s">
        <v>478</v>
      </c>
      <c r="M56" s="21" t="s">
        <v>9</v>
      </c>
      <c r="N56" s="7" t="s">
        <v>117</v>
      </c>
      <c r="O56" s="6" t="s">
        <v>118</v>
      </c>
      <c r="P56" s="7"/>
    </row>
    <row r="57" customFormat="false" ht="25.35" hidden="false" customHeight="false" outlineLevel="0" collapsed="false">
      <c r="A57" s="6" t="s">
        <v>479</v>
      </c>
      <c r="B57" s="7" t="s">
        <v>19</v>
      </c>
      <c r="C57" s="6" t="s">
        <v>458</v>
      </c>
      <c r="D57" s="7" t="s">
        <v>480</v>
      </c>
      <c r="E57" s="7" t="s">
        <v>481</v>
      </c>
      <c r="F57" s="7" t="s">
        <v>482</v>
      </c>
      <c r="G57" s="7" t="s">
        <v>476</v>
      </c>
      <c r="H57" s="7" t="s">
        <v>483</v>
      </c>
      <c r="I57" s="22" t="s">
        <v>47</v>
      </c>
      <c r="J57" s="6" t="s">
        <v>77</v>
      </c>
      <c r="K57" s="6" t="s">
        <v>115</v>
      </c>
      <c r="L57" s="7" t="s">
        <v>484</v>
      </c>
      <c r="M57" s="21" t="s">
        <v>9</v>
      </c>
      <c r="N57" s="7" t="s">
        <v>117</v>
      </c>
      <c r="O57" s="6" t="s">
        <v>118</v>
      </c>
      <c r="P57" s="7"/>
    </row>
    <row r="58" customFormat="false" ht="25.35" hidden="false" customHeight="false" outlineLevel="0" collapsed="false">
      <c r="A58" s="6" t="s">
        <v>485</v>
      </c>
      <c r="B58" s="7" t="s">
        <v>19</v>
      </c>
      <c r="C58" s="6" t="s">
        <v>458</v>
      </c>
      <c r="D58" s="7" t="s">
        <v>486</v>
      </c>
      <c r="E58" s="7" t="s">
        <v>487</v>
      </c>
      <c r="F58" s="7" t="s">
        <v>488</v>
      </c>
      <c r="G58" s="7" t="s">
        <v>489</v>
      </c>
      <c r="H58" s="7" t="s">
        <v>490</v>
      </c>
      <c r="I58" s="22" t="s">
        <v>47</v>
      </c>
      <c r="J58" s="6" t="s">
        <v>77</v>
      </c>
      <c r="K58" s="6" t="s">
        <v>115</v>
      </c>
      <c r="L58" s="7" t="s">
        <v>491</v>
      </c>
      <c r="M58" s="21" t="s">
        <v>9</v>
      </c>
      <c r="N58" s="7" t="s">
        <v>117</v>
      </c>
      <c r="O58" s="6" t="s">
        <v>118</v>
      </c>
      <c r="P58" s="7"/>
    </row>
    <row r="59" customFormat="false" ht="25.35" hidden="false" customHeight="false" outlineLevel="0" collapsed="false">
      <c r="A59" s="6" t="s">
        <v>492</v>
      </c>
      <c r="B59" s="7" t="s">
        <v>19</v>
      </c>
      <c r="C59" s="6" t="s">
        <v>458</v>
      </c>
      <c r="D59" s="7" t="s">
        <v>493</v>
      </c>
      <c r="E59" s="7" t="s">
        <v>231</v>
      </c>
      <c r="F59" s="7" t="s">
        <v>494</v>
      </c>
      <c r="G59" s="7" t="s">
        <v>495</v>
      </c>
      <c r="H59" s="7" t="s">
        <v>496</v>
      </c>
      <c r="I59" s="24" t="s">
        <v>49</v>
      </c>
      <c r="J59" s="6" t="s">
        <v>77</v>
      </c>
      <c r="K59" s="6" t="s">
        <v>115</v>
      </c>
      <c r="L59" s="7" t="s">
        <v>497</v>
      </c>
      <c r="M59" s="21" t="s">
        <v>9</v>
      </c>
      <c r="N59" s="7" t="s">
        <v>117</v>
      </c>
      <c r="O59" s="6" t="s">
        <v>118</v>
      </c>
      <c r="P59" s="7"/>
    </row>
    <row r="60" customFormat="false" ht="49.25" hidden="false" customHeight="false" outlineLevel="0" collapsed="false">
      <c r="A60" s="6" t="s">
        <v>498</v>
      </c>
      <c r="B60" s="7" t="s">
        <v>19</v>
      </c>
      <c r="C60" s="6" t="s">
        <v>458</v>
      </c>
      <c r="D60" s="7" t="s">
        <v>499</v>
      </c>
      <c r="E60" s="7" t="s">
        <v>500</v>
      </c>
      <c r="F60" s="7" t="s">
        <v>501</v>
      </c>
      <c r="G60" s="7" t="s">
        <v>502</v>
      </c>
      <c r="H60" s="7" t="s">
        <v>503</v>
      </c>
      <c r="I60" s="25" t="s">
        <v>48</v>
      </c>
      <c r="J60" s="6" t="s">
        <v>77</v>
      </c>
      <c r="K60" s="6" t="s">
        <v>115</v>
      </c>
      <c r="L60" s="7" t="s">
        <v>504</v>
      </c>
      <c r="M60" s="21" t="s">
        <v>9</v>
      </c>
      <c r="N60" s="7" t="s">
        <v>117</v>
      </c>
      <c r="O60" s="6" t="s">
        <v>118</v>
      </c>
      <c r="P60" s="7" t="s">
        <v>505</v>
      </c>
    </row>
    <row r="61" customFormat="false" ht="37.3" hidden="false" customHeight="false" outlineLevel="0" collapsed="false">
      <c r="A61" s="6" t="s">
        <v>506</v>
      </c>
      <c r="B61" s="7" t="s">
        <v>19</v>
      </c>
      <c r="C61" s="6" t="s">
        <v>458</v>
      </c>
      <c r="D61" s="7" t="s">
        <v>507</v>
      </c>
      <c r="E61" s="7" t="s">
        <v>508</v>
      </c>
      <c r="F61" s="7" t="s">
        <v>509</v>
      </c>
      <c r="G61" s="7" t="s">
        <v>510</v>
      </c>
      <c r="H61" s="7" t="s">
        <v>511</v>
      </c>
      <c r="I61" s="22" t="s">
        <v>47</v>
      </c>
      <c r="J61" s="6" t="s">
        <v>77</v>
      </c>
      <c r="K61" s="6" t="s">
        <v>115</v>
      </c>
      <c r="L61" s="7" t="s">
        <v>512</v>
      </c>
      <c r="M61" s="21" t="s">
        <v>9</v>
      </c>
      <c r="N61" s="7" t="s">
        <v>117</v>
      </c>
      <c r="O61" s="6" t="s">
        <v>118</v>
      </c>
      <c r="P61" s="7" t="s">
        <v>505</v>
      </c>
    </row>
    <row r="62" customFormat="false" ht="37.3" hidden="false" customHeight="false" outlineLevel="0" collapsed="false">
      <c r="A62" s="6" t="s">
        <v>513</v>
      </c>
      <c r="B62" s="7" t="s">
        <v>19</v>
      </c>
      <c r="C62" s="6" t="s">
        <v>458</v>
      </c>
      <c r="D62" s="7" t="s">
        <v>514</v>
      </c>
      <c r="E62" s="7" t="s">
        <v>515</v>
      </c>
      <c r="F62" s="7" t="s">
        <v>516</v>
      </c>
      <c r="G62" s="7" t="s">
        <v>517</v>
      </c>
      <c r="H62" s="7" t="s">
        <v>518</v>
      </c>
      <c r="I62" s="25" t="s">
        <v>48</v>
      </c>
      <c r="J62" s="6" t="s">
        <v>77</v>
      </c>
      <c r="K62" s="6" t="s">
        <v>57</v>
      </c>
      <c r="L62" s="7" t="s">
        <v>519</v>
      </c>
      <c r="M62" s="21" t="s">
        <v>9</v>
      </c>
      <c r="N62" s="7" t="s">
        <v>117</v>
      </c>
      <c r="O62" s="6" t="s">
        <v>118</v>
      </c>
      <c r="P62" s="7" t="s">
        <v>520</v>
      </c>
    </row>
    <row r="63" customFormat="false" ht="49.25" hidden="false" customHeight="false" outlineLevel="0" collapsed="false">
      <c r="A63" s="6" t="s">
        <v>521</v>
      </c>
      <c r="B63" s="7" t="s">
        <v>19</v>
      </c>
      <c r="C63" s="6" t="s">
        <v>458</v>
      </c>
      <c r="D63" s="7" t="s">
        <v>522</v>
      </c>
      <c r="E63" s="7" t="s">
        <v>523</v>
      </c>
      <c r="F63" s="7" t="s">
        <v>524</v>
      </c>
      <c r="G63" s="7" t="s">
        <v>525</v>
      </c>
      <c r="H63" s="7" t="s">
        <v>526</v>
      </c>
      <c r="I63" s="20" t="s">
        <v>46</v>
      </c>
      <c r="J63" s="6" t="s">
        <v>82</v>
      </c>
      <c r="K63" s="6" t="s">
        <v>57</v>
      </c>
      <c r="L63" s="7" t="s">
        <v>527</v>
      </c>
      <c r="M63" s="6" t="s">
        <v>12</v>
      </c>
      <c r="N63" s="7"/>
      <c r="O63" s="6"/>
      <c r="P63" s="7" t="s">
        <v>528</v>
      </c>
    </row>
    <row r="64" customFormat="false" ht="49.25" hidden="false" customHeight="false" outlineLevel="0" collapsed="false">
      <c r="A64" s="6" t="s">
        <v>529</v>
      </c>
      <c r="B64" s="7" t="s">
        <v>19</v>
      </c>
      <c r="C64" s="6" t="s">
        <v>530</v>
      </c>
      <c r="D64" s="7" t="s">
        <v>531</v>
      </c>
      <c r="E64" s="7" t="s">
        <v>532</v>
      </c>
      <c r="F64" s="7" t="s">
        <v>533</v>
      </c>
      <c r="G64" s="7" t="s">
        <v>534</v>
      </c>
      <c r="H64" s="7" t="s">
        <v>535</v>
      </c>
      <c r="I64" s="20" t="s">
        <v>46</v>
      </c>
      <c r="J64" s="6" t="s">
        <v>77</v>
      </c>
      <c r="K64" s="6" t="s">
        <v>115</v>
      </c>
      <c r="L64" s="7" t="s">
        <v>536</v>
      </c>
      <c r="M64" s="21" t="s">
        <v>9</v>
      </c>
      <c r="N64" s="7" t="s">
        <v>117</v>
      </c>
      <c r="O64" s="6" t="s">
        <v>118</v>
      </c>
      <c r="P64" s="7" t="s">
        <v>308</v>
      </c>
    </row>
    <row r="65" customFormat="false" ht="61.15" hidden="false" customHeight="false" outlineLevel="0" collapsed="false">
      <c r="A65" s="6" t="s">
        <v>537</v>
      </c>
      <c r="B65" s="7" t="s">
        <v>19</v>
      </c>
      <c r="C65" s="6" t="s">
        <v>530</v>
      </c>
      <c r="D65" s="7" t="s">
        <v>538</v>
      </c>
      <c r="E65" s="7" t="s">
        <v>539</v>
      </c>
      <c r="F65" s="7" t="s">
        <v>540</v>
      </c>
      <c r="G65" s="7" t="s">
        <v>541</v>
      </c>
      <c r="H65" s="7" t="s">
        <v>542</v>
      </c>
      <c r="I65" s="20" t="s">
        <v>46</v>
      </c>
      <c r="J65" s="6" t="s">
        <v>77</v>
      </c>
      <c r="K65" s="6" t="s">
        <v>115</v>
      </c>
      <c r="L65" s="7" t="s">
        <v>543</v>
      </c>
      <c r="M65" s="6" t="s">
        <v>12</v>
      </c>
      <c r="N65" s="7"/>
      <c r="O65" s="6"/>
      <c r="P65" s="7" t="s">
        <v>150</v>
      </c>
    </row>
    <row r="66" customFormat="false" ht="120.85" hidden="false" customHeight="false" outlineLevel="0" collapsed="false">
      <c r="A66" s="6" t="s">
        <v>544</v>
      </c>
      <c r="B66" s="7" t="s">
        <v>19</v>
      </c>
      <c r="C66" s="6" t="s">
        <v>530</v>
      </c>
      <c r="D66" s="7" t="s">
        <v>545</v>
      </c>
      <c r="E66" s="7" t="s">
        <v>546</v>
      </c>
      <c r="F66" s="7" t="s">
        <v>547</v>
      </c>
      <c r="G66" s="7" t="s">
        <v>548</v>
      </c>
      <c r="H66" s="7" t="s">
        <v>549</v>
      </c>
      <c r="I66" s="24" t="s">
        <v>49</v>
      </c>
      <c r="J66" s="6" t="s">
        <v>77</v>
      </c>
      <c r="K66" s="6" t="s">
        <v>115</v>
      </c>
      <c r="L66" s="7" t="s">
        <v>550</v>
      </c>
      <c r="M66" s="21" t="s">
        <v>9</v>
      </c>
      <c r="N66" s="7" t="s">
        <v>117</v>
      </c>
      <c r="O66" s="6" t="s">
        <v>118</v>
      </c>
      <c r="P66" s="7" t="s">
        <v>551</v>
      </c>
    </row>
    <row r="67" customFormat="false" ht="37.3" hidden="false" customHeight="false" outlineLevel="0" collapsed="false">
      <c r="A67" s="6" t="s">
        <v>552</v>
      </c>
      <c r="B67" s="7" t="s">
        <v>19</v>
      </c>
      <c r="C67" s="6" t="s">
        <v>530</v>
      </c>
      <c r="D67" s="7" t="s">
        <v>553</v>
      </c>
      <c r="E67" s="7" t="s">
        <v>554</v>
      </c>
      <c r="F67" s="7" t="s">
        <v>555</v>
      </c>
      <c r="G67" s="7" t="s">
        <v>556</v>
      </c>
      <c r="H67" s="7" t="s">
        <v>557</v>
      </c>
      <c r="I67" s="20" t="s">
        <v>46</v>
      </c>
      <c r="J67" s="6" t="s">
        <v>77</v>
      </c>
      <c r="K67" s="6" t="s">
        <v>115</v>
      </c>
      <c r="L67" s="7" t="s">
        <v>558</v>
      </c>
      <c r="M67" s="21" t="s">
        <v>9</v>
      </c>
      <c r="N67" s="7" t="s">
        <v>117</v>
      </c>
      <c r="O67" s="6" t="s">
        <v>118</v>
      </c>
      <c r="P67" s="7"/>
    </row>
    <row r="68" customFormat="false" ht="85.05" hidden="false" customHeight="false" outlineLevel="0" collapsed="false">
      <c r="A68" s="6" t="s">
        <v>559</v>
      </c>
      <c r="B68" s="7" t="s">
        <v>19</v>
      </c>
      <c r="C68" s="6" t="s">
        <v>530</v>
      </c>
      <c r="D68" s="7" t="s">
        <v>560</v>
      </c>
      <c r="E68" s="7" t="s">
        <v>561</v>
      </c>
      <c r="F68" s="7" t="s">
        <v>562</v>
      </c>
      <c r="G68" s="7" t="s">
        <v>563</v>
      </c>
      <c r="H68" s="7" t="s">
        <v>564</v>
      </c>
      <c r="I68" s="22" t="s">
        <v>47</v>
      </c>
      <c r="J68" s="6" t="s">
        <v>77</v>
      </c>
      <c r="K68" s="6" t="s">
        <v>115</v>
      </c>
      <c r="L68" s="7" t="s">
        <v>565</v>
      </c>
      <c r="M68" s="21" t="s">
        <v>9</v>
      </c>
      <c r="N68" s="7" t="s">
        <v>117</v>
      </c>
      <c r="O68" s="6" t="s">
        <v>118</v>
      </c>
      <c r="P68" s="7"/>
    </row>
    <row r="69" customFormat="false" ht="25.35" hidden="false" customHeight="false" outlineLevel="0" collapsed="false">
      <c r="A69" s="6" t="s">
        <v>566</v>
      </c>
      <c r="B69" s="7" t="s">
        <v>19</v>
      </c>
      <c r="C69" s="6" t="s">
        <v>567</v>
      </c>
      <c r="D69" s="7" t="s">
        <v>568</v>
      </c>
      <c r="E69" s="7" t="s">
        <v>569</v>
      </c>
      <c r="F69" s="7" t="s">
        <v>570</v>
      </c>
      <c r="G69" s="7" t="s">
        <v>571</v>
      </c>
      <c r="H69" s="7" t="s">
        <v>572</v>
      </c>
      <c r="I69" s="22" t="s">
        <v>47</v>
      </c>
      <c r="J69" s="6" t="s">
        <v>77</v>
      </c>
      <c r="K69" s="6" t="s">
        <v>115</v>
      </c>
      <c r="L69" s="7" t="s">
        <v>573</v>
      </c>
      <c r="M69" s="21" t="s">
        <v>9</v>
      </c>
      <c r="N69" s="7" t="s">
        <v>117</v>
      </c>
      <c r="O69" s="6" t="s">
        <v>118</v>
      </c>
      <c r="P69" s="7"/>
    </row>
    <row r="70" customFormat="false" ht="85.05" hidden="false" customHeight="false" outlineLevel="0" collapsed="false">
      <c r="A70" s="6" t="s">
        <v>79</v>
      </c>
      <c r="B70" s="7" t="s">
        <v>19</v>
      </c>
      <c r="C70" s="6" t="s">
        <v>567</v>
      </c>
      <c r="D70" s="7" t="s">
        <v>574</v>
      </c>
      <c r="E70" s="7" t="s">
        <v>569</v>
      </c>
      <c r="F70" s="7" t="s">
        <v>575</v>
      </c>
      <c r="G70" s="7" t="s">
        <v>576</v>
      </c>
      <c r="H70" s="7" t="s">
        <v>577</v>
      </c>
      <c r="I70" s="20" t="s">
        <v>46</v>
      </c>
      <c r="J70" s="6" t="s">
        <v>77</v>
      </c>
      <c r="K70" s="6" t="s">
        <v>115</v>
      </c>
      <c r="L70" s="7" t="s">
        <v>578</v>
      </c>
      <c r="M70" s="23" t="s">
        <v>10</v>
      </c>
      <c r="N70" s="7" t="s">
        <v>117</v>
      </c>
      <c r="O70" s="6" t="s">
        <v>118</v>
      </c>
      <c r="P70" s="7" t="s">
        <v>579</v>
      </c>
    </row>
    <row r="71" customFormat="false" ht="73.1" hidden="false" customHeight="false" outlineLevel="0" collapsed="false">
      <c r="A71" s="6" t="s">
        <v>580</v>
      </c>
      <c r="B71" s="7" t="s">
        <v>21</v>
      </c>
      <c r="C71" s="6" t="s">
        <v>581</v>
      </c>
      <c r="D71" s="7" t="s">
        <v>582</v>
      </c>
      <c r="E71" s="7" t="s">
        <v>324</v>
      </c>
      <c r="F71" s="7" t="s">
        <v>583</v>
      </c>
      <c r="G71" s="7" t="s">
        <v>584</v>
      </c>
      <c r="H71" s="7" t="s">
        <v>585</v>
      </c>
      <c r="I71" s="20" t="s">
        <v>46</v>
      </c>
      <c r="J71" s="6" t="s">
        <v>77</v>
      </c>
      <c r="K71" s="6" t="s">
        <v>115</v>
      </c>
      <c r="L71" s="7" t="s">
        <v>586</v>
      </c>
      <c r="M71" s="21" t="s">
        <v>9</v>
      </c>
      <c r="N71" s="7" t="s">
        <v>117</v>
      </c>
      <c r="O71" s="6" t="s">
        <v>118</v>
      </c>
      <c r="P71" s="7"/>
    </row>
    <row r="72" customFormat="false" ht="49.25" hidden="false" customHeight="false" outlineLevel="0" collapsed="false">
      <c r="A72" s="6" t="s">
        <v>587</v>
      </c>
      <c r="B72" s="7" t="s">
        <v>21</v>
      </c>
      <c r="C72" s="6" t="s">
        <v>581</v>
      </c>
      <c r="D72" s="7" t="s">
        <v>588</v>
      </c>
      <c r="E72" s="7" t="s">
        <v>589</v>
      </c>
      <c r="F72" s="7" t="s">
        <v>590</v>
      </c>
      <c r="G72" s="7" t="s">
        <v>591</v>
      </c>
      <c r="H72" s="7" t="s">
        <v>592</v>
      </c>
      <c r="I72" s="22" t="s">
        <v>47</v>
      </c>
      <c r="J72" s="6" t="s">
        <v>82</v>
      </c>
      <c r="K72" s="6" t="s">
        <v>115</v>
      </c>
      <c r="L72" s="7" t="s">
        <v>593</v>
      </c>
      <c r="M72" s="21" t="s">
        <v>9</v>
      </c>
      <c r="N72" s="7" t="s">
        <v>117</v>
      </c>
      <c r="O72" s="6" t="s">
        <v>118</v>
      </c>
      <c r="P72" s="7" t="s">
        <v>264</v>
      </c>
    </row>
    <row r="73" customFormat="false" ht="37.3" hidden="false" customHeight="false" outlineLevel="0" collapsed="false">
      <c r="A73" s="6" t="s">
        <v>594</v>
      </c>
      <c r="B73" s="7" t="s">
        <v>21</v>
      </c>
      <c r="C73" s="6" t="s">
        <v>581</v>
      </c>
      <c r="D73" s="7" t="s">
        <v>595</v>
      </c>
      <c r="E73" s="7" t="s">
        <v>596</v>
      </c>
      <c r="F73" s="7" t="s">
        <v>533</v>
      </c>
      <c r="G73" s="7" t="s">
        <v>597</v>
      </c>
      <c r="H73" s="7" t="s">
        <v>598</v>
      </c>
      <c r="I73" s="20" t="s">
        <v>46</v>
      </c>
      <c r="J73" s="6" t="s">
        <v>77</v>
      </c>
      <c r="K73" s="6" t="s">
        <v>115</v>
      </c>
      <c r="L73" s="7" t="s">
        <v>599</v>
      </c>
      <c r="M73" s="21" t="s">
        <v>9</v>
      </c>
      <c r="N73" s="7" t="s">
        <v>117</v>
      </c>
      <c r="O73" s="6" t="s">
        <v>118</v>
      </c>
      <c r="P73" s="7"/>
    </row>
    <row r="74" customFormat="false" ht="37.3" hidden="false" customHeight="false" outlineLevel="0" collapsed="false">
      <c r="A74" s="6" t="s">
        <v>600</v>
      </c>
      <c r="B74" s="7" t="s">
        <v>21</v>
      </c>
      <c r="C74" s="6" t="s">
        <v>581</v>
      </c>
      <c r="D74" s="7" t="s">
        <v>601</v>
      </c>
      <c r="E74" s="7" t="s">
        <v>602</v>
      </c>
      <c r="F74" s="7" t="s">
        <v>603</v>
      </c>
      <c r="G74" s="7" t="s">
        <v>604</v>
      </c>
      <c r="H74" s="7" t="s">
        <v>605</v>
      </c>
      <c r="I74" s="20" t="s">
        <v>46</v>
      </c>
      <c r="J74" s="6" t="s">
        <v>77</v>
      </c>
      <c r="K74" s="6" t="s">
        <v>115</v>
      </c>
      <c r="L74" s="7" t="s">
        <v>606</v>
      </c>
      <c r="M74" s="21" t="s">
        <v>9</v>
      </c>
      <c r="N74" s="7" t="s">
        <v>117</v>
      </c>
      <c r="O74" s="6" t="s">
        <v>118</v>
      </c>
      <c r="P74" s="7"/>
    </row>
    <row r="75" customFormat="false" ht="49.25" hidden="false" customHeight="false" outlineLevel="0" collapsed="false">
      <c r="A75" s="6" t="s">
        <v>607</v>
      </c>
      <c r="B75" s="7" t="s">
        <v>21</v>
      </c>
      <c r="C75" s="6" t="s">
        <v>581</v>
      </c>
      <c r="D75" s="7" t="s">
        <v>608</v>
      </c>
      <c r="E75" s="7" t="s">
        <v>609</v>
      </c>
      <c r="F75" s="7" t="s">
        <v>610</v>
      </c>
      <c r="G75" s="7" t="s">
        <v>611</v>
      </c>
      <c r="H75" s="7" t="s">
        <v>612</v>
      </c>
      <c r="I75" s="22" t="s">
        <v>47</v>
      </c>
      <c r="J75" s="6" t="s">
        <v>77</v>
      </c>
      <c r="K75" s="6" t="s">
        <v>115</v>
      </c>
      <c r="L75" s="7" t="s">
        <v>613</v>
      </c>
      <c r="M75" s="21" t="s">
        <v>9</v>
      </c>
      <c r="N75" s="7" t="s">
        <v>117</v>
      </c>
      <c r="O75" s="6" t="s">
        <v>118</v>
      </c>
      <c r="P75" s="7" t="s">
        <v>308</v>
      </c>
    </row>
    <row r="76" customFormat="false" ht="25.35" hidden="false" customHeight="false" outlineLevel="0" collapsed="false">
      <c r="A76" s="6" t="s">
        <v>614</v>
      </c>
      <c r="B76" s="7" t="s">
        <v>21</v>
      </c>
      <c r="C76" s="6" t="s">
        <v>581</v>
      </c>
      <c r="D76" s="7" t="s">
        <v>615</v>
      </c>
      <c r="E76" s="7" t="s">
        <v>616</v>
      </c>
      <c r="F76" s="7" t="s">
        <v>617</v>
      </c>
      <c r="G76" s="7" t="s">
        <v>618</v>
      </c>
      <c r="H76" s="7" t="s">
        <v>619</v>
      </c>
      <c r="I76" s="22" t="s">
        <v>47</v>
      </c>
      <c r="J76" s="6" t="s">
        <v>77</v>
      </c>
      <c r="K76" s="6" t="s">
        <v>115</v>
      </c>
      <c r="L76" s="7" t="s">
        <v>620</v>
      </c>
      <c r="M76" s="21" t="s">
        <v>9</v>
      </c>
      <c r="N76" s="7" t="s">
        <v>117</v>
      </c>
      <c r="O76" s="6" t="s">
        <v>118</v>
      </c>
      <c r="P76" s="7"/>
    </row>
    <row r="77" customFormat="false" ht="49.25" hidden="false" customHeight="false" outlineLevel="0" collapsed="false">
      <c r="A77" s="6" t="s">
        <v>621</v>
      </c>
      <c r="B77" s="7" t="s">
        <v>21</v>
      </c>
      <c r="C77" s="6" t="s">
        <v>581</v>
      </c>
      <c r="D77" s="7" t="s">
        <v>622</v>
      </c>
      <c r="E77" s="7" t="s">
        <v>623</v>
      </c>
      <c r="F77" s="7" t="s">
        <v>624</v>
      </c>
      <c r="G77" s="7" t="s">
        <v>618</v>
      </c>
      <c r="H77" s="7" t="s">
        <v>619</v>
      </c>
      <c r="I77" s="25" t="s">
        <v>48</v>
      </c>
      <c r="J77" s="6" t="s">
        <v>77</v>
      </c>
      <c r="K77" s="6" t="s">
        <v>115</v>
      </c>
      <c r="L77" s="7" t="s">
        <v>625</v>
      </c>
      <c r="M77" s="21" t="s">
        <v>9</v>
      </c>
      <c r="N77" s="7" t="s">
        <v>117</v>
      </c>
      <c r="O77" s="6" t="s">
        <v>118</v>
      </c>
      <c r="P77" s="7" t="s">
        <v>308</v>
      </c>
    </row>
    <row r="78" customFormat="false" ht="49.25" hidden="false" customHeight="false" outlineLevel="0" collapsed="false">
      <c r="A78" s="6" t="s">
        <v>626</v>
      </c>
      <c r="B78" s="7" t="s">
        <v>21</v>
      </c>
      <c r="C78" s="6" t="s">
        <v>581</v>
      </c>
      <c r="D78" s="7" t="s">
        <v>627</v>
      </c>
      <c r="E78" s="7" t="s">
        <v>628</v>
      </c>
      <c r="F78" s="7" t="s">
        <v>629</v>
      </c>
      <c r="G78" s="7" t="s">
        <v>630</v>
      </c>
      <c r="H78" s="7" t="s">
        <v>631</v>
      </c>
      <c r="I78" s="25" t="s">
        <v>48</v>
      </c>
      <c r="J78" s="6" t="s">
        <v>77</v>
      </c>
      <c r="K78" s="6" t="s">
        <v>115</v>
      </c>
      <c r="L78" s="7" t="s">
        <v>632</v>
      </c>
      <c r="M78" s="21" t="s">
        <v>9</v>
      </c>
      <c r="N78" s="7" t="s">
        <v>117</v>
      </c>
      <c r="O78" s="6" t="s">
        <v>118</v>
      </c>
      <c r="P78" s="7"/>
    </row>
    <row r="79" customFormat="false" ht="73.1" hidden="false" customHeight="false" outlineLevel="0" collapsed="false">
      <c r="A79" s="6" t="s">
        <v>633</v>
      </c>
      <c r="B79" s="7" t="s">
        <v>21</v>
      </c>
      <c r="C79" s="6" t="s">
        <v>581</v>
      </c>
      <c r="D79" s="7" t="s">
        <v>634</v>
      </c>
      <c r="E79" s="7" t="s">
        <v>635</v>
      </c>
      <c r="F79" s="7" t="s">
        <v>636</v>
      </c>
      <c r="G79" s="7" t="s">
        <v>630</v>
      </c>
      <c r="H79" s="7" t="s">
        <v>637</v>
      </c>
      <c r="I79" s="25" t="s">
        <v>48</v>
      </c>
      <c r="J79" s="6" t="s">
        <v>77</v>
      </c>
      <c r="K79" s="6" t="s">
        <v>115</v>
      </c>
      <c r="L79" s="7" t="s">
        <v>638</v>
      </c>
      <c r="M79" s="21" t="s">
        <v>9</v>
      </c>
      <c r="N79" s="7" t="s">
        <v>117</v>
      </c>
      <c r="O79" s="6" t="s">
        <v>118</v>
      </c>
      <c r="P79" s="7" t="s">
        <v>639</v>
      </c>
    </row>
    <row r="80" customFormat="false" ht="25.35" hidden="false" customHeight="false" outlineLevel="0" collapsed="false">
      <c r="A80" s="6" t="s">
        <v>640</v>
      </c>
      <c r="B80" s="7" t="s">
        <v>21</v>
      </c>
      <c r="C80" s="6" t="s">
        <v>581</v>
      </c>
      <c r="D80" s="7" t="s">
        <v>641</v>
      </c>
      <c r="E80" s="7" t="s">
        <v>231</v>
      </c>
      <c r="F80" s="7" t="s">
        <v>642</v>
      </c>
      <c r="G80" s="7" t="s">
        <v>630</v>
      </c>
      <c r="H80" s="7" t="s">
        <v>643</v>
      </c>
      <c r="I80" s="22" t="s">
        <v>47</v>
      </c>
      <c r="J80" s="6" t="s">
        <v>77</v>
      </c>
      <c r="K80" s="6" t="s">
        <v>115</v>
      </c>
      <c r="L80" s="7" t="s">
        <v>644</v>
      </c>
      <c r="M80" s="21" t="s">
        <v>9</v>
      </c>
      <c r="N80" s="7" t="s">
        <v>117</v>
      </c>
      <c r="O80" s="6" t="s">
        <v>118</v>
      </c>
      <c r="P80" s="7" t="s">
        <v>645</v>
      </c>
    </row>
    <row r="81" customFormat="false" ht="49.25" hidden="false" customHeight="false" outlineLevel="0" collapsed="false">
      <c r="A81" s="6" t="s">
        <v>646</v>
      </c>
      <c r="B81" s="7" t="s">
        <v>21</v>
      </c>
      <c r="C81" s="6" t="s">
        <v>458</v>
      </c>
      <c r="D81" s="7" t="s">
        <v>647</v>
      </c>
      <c r="E81" s="7" t="s">
        <v>648</v>
      </c>
      <c r="F81" s="7" t="s">
        <v>649</v>
      </c>
      <c r="G81" s="7" t="s">
        <v>650</v>
      </c>
      <c r="H81" s="7" t="s">
        <v>651</v>
      </c>
      <c r="I81" s="20" t="s">
        <v>46</v>
      </c>
      <c r="J81" s="6" t="s">
        <v>77</v>
      </c>
      <c r="K81" s="6" t="s">
        <v>115</v>
      </c>
      <c r="L81" s="7" t="s">
        <v>652</v>
      </c>
      <c r="M81" s="21" t="s">
        <v>9</v>
      </c>
      <c r="N81" s="7" t="s">
        <v>117</v>
      </c>
      <c r="O81" s="6" t="s">
        <v>118</v>
      </c>
      <c r="P81" s="7" t="s">
        <v>308</v>
      </c>
    </row>
    <row r="82" customFormat="false" ht="37.3" hidden="false" customHeight="false" outlineLevel="0" collapsed="false">
      <c r="A82" s="6" t="s">
        <v>653</v>
      </c>
      <c r="B82" s="7" t="s">
        <v>21</v>
      </c>
      <c r="C82" s="6" t="s">
        <v>458</v>
      </c>
      <c r="D82" s="7" t="s">
        <v>654</v>
      </c>
      <c r="E82" s="7" t="s">
        <v>655</v>
      </c>
      <c r="F82" s="7" t="s">
        <v>649</v>
      </c>
      <c r="G82" s="7" t="s">
        <v>656</v>
      </c>
      <c r="H82" s="7" t="s">
        <v>657</v>
      </c>
      <c r="I82" s="24" t="s">
        <v>49</v>
      </c>
      <c r="J82" s="6" t="s">
        <v>77</v>
      </c>
      <c r="K82" s="6" t="s">
        <v>115</v>
      </c>
      <c r="L82" s="7" t="s">
        <v>658</v>
      </c>
      <c r="M82" s="21" t="s">
        <v>9</v>
      </c>
      <c r="N82" s="7" t="s">
        <v>117</v>
      </c>
      <c r="O82" s="6" t="s">
        <v>118</v>
      </c>
      <c r="P82" s="7" t="s">
        <v>505</v>
      </c>
    </row>
    <row r="83" customFormat="false" ht="37.3" hidden="false" customHeight="false" outlineLevel="0" collapsed="false">
      <c r="A83" s="6" t="s">
        <v>659</v>
      </c>
      <c r="B83" s="7" t="s">
        <v>23</v>
      </c>
      <c r="C83" s="6" t="s">
        <v>660</v>
      </c>
      <c r="D83" s="7" t="s">
        <v>661</v>
      </c>
      <c r="E83" s="7" t="s">
        <v>662</v>
      </c>
      <c r="F83" s="7" t="s">
        <v>663</v>
      </c>
      <c r="G83" s="7" t="s">
        <v>664</v>
      </c>
      <c r="H83" s="7" t="s">
        <v>665</v>
      </c>
      <c r="I83" s="20" t="s">
        <v>46</v>
      </c>
      <c r="J83" s="6" t="s">
        <v>77</v>
      </c>
      <c r="K83" s="6" t="s">
        <v>115</v>
      </c>
      <c r="L83" s="7" t="s">
        <v>666</v>
      </c>
      <c r="M83" s="21" t="s">
        <v>9</v>
      </c>
      <c r="N83" s="7" t="s">
        <v>117</v>
      </c>
      <c r="O83" s="6" t="s">
        <v>118</v>
      </c>
      <c r="P83" s="7"/>
    </row>
    <row r="84" customFormat="false" ht="49.25" hidden="false" customHeight="false" outlineLevel="0" collapsed="false">
      <c r="A84" s="6" t="s">
        <v>667</v>
      </c>
      <c r="B84" s="7" t="s">
        <v>23</v>
      </c>
      <c r="C84" s="6" t="s">
        <v>660</v>
      </c>
      <c r="D84" s="7" t="s">
        <v>668</v>
      </c>
      <c r="E84" s="7" t="s">
        <v>669</v>
      </c>
      <c r="F84" s="7" t="s">
        <v>670</v>
      </c>
      <c r="G84" s="7" t="s">
        <v>671</v>
      </c>
      <c r="H84" s="7" t="s">
        <v>672</v>
      </c>
      <c r="I84" s="25" t="s">
        <v>48</v>
      </c>
      <c r="J84" s="6" t="s">
        <v>77</v>
      </c>
      <c r="K84" s="6" t="s">
        <v>115</v>
      </c>
      <c r="L84" s="7" t="s">
        <v>673</v>
      </c>
      <c r="M84" s="21" t="s">
        <v>9</v>
      </c>
      <c r="N84" s="7" t="s">
        <v>117</v>
      </c>
      <c r="O84" s="6" t="s">
        <v>118</v>
      </c>
      <c r="P84" s="7"/>
    </row>
    <row r="85" customFormat="false" ht="25.35" hidden="false" customHeight="false" outlineLevel="0" collapsed="false">
      <c r="A85" s="6" t="s">
        <v>674</v>
      </c>
      <c r="B85" s="7" t="s">
        <v>23</v>
      </c>
      <c r="C85" s="6" t="s">
        <v>660</v>
      </c>
      <c r="D85" s="7" t="s">
        <v>675</v>
      </c>
      <c r="E85" s="7" t="s">
        <v>676</v>
      </c>
      <c r="F85" s="7" t="s">
        <v>677</v>
      </c>
      <c r="G85" s="7" t="s">
        <v>678</v>
      </c>
      <c r="H85" s="7" t="s">
        <v>679</v>
      </c>
      <c r="I85" s="24" t="s">
        <v>49</v>
      </c>
      <c r="J85" s="6" t="s">
        <v>77</v>
      </c>
      <c r="K85" s="6" t="s">
        <v>115</v>
      </c>
      <c r="L85" s="7" t="s">
        <v>680</v>
      </c>
      <c r="M85" s="21" t="s">
        <v>9</v>
      </c>
      <c r="N85" s="7" t="s">
        <v>117</v>
      </c>
      <c r="O85" s="6" t="s">
        <v>118</v>
      </c>
      <c r="P85" s="7"/>
    </row>
    <row r="86" customFormat="false" ht="49.25" hidden="false" customHeight="false" outlineLevel="0" collapsed="false">
      <c r="A86" s="6" t="s">
        <v>681</v>
      </c>
      <c r="B86" s="7" t="s">
        <v>23</v>
      </c>
      <c r="C86" s="6" t="s">
        <v>660</v>
      </c>
      <c r="D86" s="7" t="s">
        <v>682</v>
      </c>
      <c r="E86" s="7" t="s">
        <v>683</v>
      </c>
      <c r="F86" s="7" t="s">
        <v>684</v>
      </c>
      <c r="G86" s="7" t="s">
        <v>685</v>
      </c>
      <c r="H86" s="7" t="s">
        <v>686</v>
      </c>
      <c r="I86" s="20" t="s">
        <v>46</v>
      </c>
      <c r="J86" s="6" t="s">
        <v>77</v>
      </c>
      <c r="K86" s="6" t="s">
        <v>115</v>
      </c>
      <c r="L86" s="7" t="s">
        <v>687</v>
      </c>
      <c r="M86" s="21" t="s">
        <v>9</v>
      </c>
      <c r="N86" s="7" t="s">
        <v>117</v>
      </c>
      <c r="O86" s="6" t="s">
        <v>118</v>
      </c>
      <c r="P86" s="7" t="s">
        <v>308</v>
      </c>
    </row>
    <row r="87" customFormat="false" ht="25.35" hidden="false" customHeight="false" outlineLevel="0" collapsed="false">
      <c r="A87" s="6" t="s">
        <v>688</v>
      </c>
      <c r="B87" s="7" t="s">
        <v>23</v>
      </c>
      <c r="C87" s="6" t="s">
        <v>660</v>
      </c>
      <c r="D87" s="7" t="s">
        <v>689</v>
      </c>
      <c r="E87" s="7" t="s">
        <v>669</v>
      </c>
      <c r="F87" s="7" t="s">
        <v>690</v>
      </c>
      <c r="G87" s="7" t="s">
        <v>691</v>
      </c>
      <c r="H87" s="7" t="s">
        <v>692</v>
      </c>
      <c r="I87" s="20" t="s">
        <v>46</v>
      </c>
      <c r="J87" s="6" t="s">
        <v>82</v>
      </c>
      <c r="K87" s="6" t="s">
        <v>115</v>
      </c>
      <c r="L87" s="7" t="s">
        <v>693</v>
      </c>
      <c r="M87" s="21" t="s">
        <v>9</v>
      </c>
      <c r="N87" s="7" t="s">
        <v>117</v>
      </c>
      <c r="O87" s="6" t="s">
        <v>118</v>
      </c>
      <c r="P87" s="7"/>
    </row>
    <row r="88" customFormat="false" ht="25.35" hidden="false" customHeight="false" outlineLevel="0" collapsed="false">
      <c r="A88" s="6" t="s">
        <v>694</v>
      </c>
      <c r="B88" s="7" t="s">
        <v>23</v>
      </c>
      <c r="C88" s="6" t="s">
        <v>660</v>
      </c>
      <c r="D88" s="7" t="s">
        <v>695</v>
      </c>
      <c r="E88" s="7" t="s">
        <v>398</v>
      </c>
      <c r="F88" s="7" t="s">
        <v>399</v>
      </c>
      <c r="G88" s="7" t="s">
        <v>678</v>
      </c>
      <c r="H88" s="7" t="s">
        <v>696</v>
      </c>
      <c r="I88" s="24" t="s">
        <v>49</v>
      </c>
      <c r="J88" s="6" t="s">
        <v>77</v>
      </c>
      <c r="K88" s="6" t="s">
        <v>115</v>
      </c>
      <c r="L88" s="7" t="s">
        <v>697</v>
      </c>
      <c r="M88" s="21" t="s">
        <v>9</v>
      </c>
      <c r="N88" s="7" t="s">
        <v>117</v>
      </c>
      <c r="O88" s="6" t="s">
        <v>118</v>
      </c>
      <c r="P88" s="7"/>
    </row>
    <row r="89" customFormat="false" ht="49.25" hidden="false" customHeight="false" outlineLevel="0" collapsed="false">
      <c r="A89" s="6" t="s">
        <v>698</v>
      </c>
      <c r="B89" s="7" t="s">
        <v>23</v>
      </c>
      <c r="C89" s="6" t="s">
        <v>660</v>
      </c>
      <c r="D89" s="7" t="s">
        <v>699</v>
      </c>
      <c r="E89" s="7" t="s">
        <v>700</v>
      </c>
      <c r="F89" s="7" t="s">
        <v>701</v>
      </c>
      <c r="G89" s="7" t="s">
        <v>702</v>
      </c>
      <c r="H89" s="7" t="s">
        <v>703</v>
      </c>
      <c r="I89" s="20" t="s">
        <v>46</v>
      </c>
      <c r="J89" s="6" t="s">
        <v>82</v>
      </c>
      <c r="K89" s="6" t="s">
        <v>115</v>
      </c>
      <c r="L89" s="7" t="s">
        <v>704</v>
      </c>
      <c r="M89" s="21" t="s">
        <v>9</v>
      </c>
      <c r="N89" s="7" t="s">
        <v>117</v>
      </c>
      <c r="O89" s="6" t="s">
        <v>118</v>
      </c>
      <c r="P89" s="7" t="s">
        <v>308</v>
      </c>
    </row>
    <row r="90" customFormat="false" ht="73.1" hidden="false" customHeight="false" outlineLevel="0" collapsed="false">
      <c r="A90" s="6" t="s">
        <v>705</v>
      </c>
      <c r="B90" s="7" t="s">
        <v>23</v>
      </c>
      <c r="C90" s="6" t="s">
        <v>660</v>
      </c>
      <c r="D90" s="7" t="s">
        <v>706</v>
      </c>
      <c r="E90" s="7" t="s">
        <v>707</v>
      </c>
      <c r="F90" s="7" t="s">
        <v>708</v>
      </c>
      <c r="G90" s="7" t="s">
        <v>709</v>
      </c>
      <c r="H90" s="7" t="s">
        <v>710</v>
      </c>
      <c r="I90" s="22" t="s">
        <v>47</v>
      </c>
      <c r="J90" s="6" t="s">
        <v>77</v>
      </c>
      <c r="K90" s="6" t="s">
        <v>57</v>
      </c>
      <c r="L90" s="7" t="s">
        <v>711</v>
      </c>
      <c r="M90" s="21" t="s">
        <v>9</v>
      </c>
      <c r="N90" s="7" t="s">
        <v>117</v>
      </c>
      <c r="O90" s="6" t="s">
        <v>118</v>
      </c>
      <c r="P90" s="7" t="s">
        <v>712</v>
      </c>
    </row>
    <row r="91" customFormat="false" ht="37.3" hidden="false" customHeight="false" outlineLevel="0" collapsed="false">
      <c r="A91" s="6" t="s">
        <v>713</v>
      </c>
      <c r="B91" s="7" t="s">
        <v>25</v>
      </c>
      <c r="C91" s="6" t="s">
        <v>714</v>
      </c>
      <c r="D91" s="7" t="s">
        <v>715</v>
      </c>
      <c r="E91" s="7" t="s">
        <v>716</v>
      </c>
      <c r="F91" s="7" t="s">
        <v>533</v>
      </c>
      <c r="G91" s="7" t="s">
        <v>717</v>
      </c>
      <c r="H91" s="7" t="s">
        <v>718</v>
      </c>
      <c r="I91" s="20" t="s">
        <v>46</v>
      </c>
      <c r="J91" s="6" t="s">
        <v>77</v>
      </c>
      <c r="K91" s="6" t="s">
        <v>115</v>
      </c>
      <c r="L91" s="7" t="s">
        <v>719</v>
      </c>
      <c r="M91" s="21" t="s">
        <v>9</v>
      </c>
      <c r="N91" s="7" t="s">
        <v>117</v>
      </c>
      <c r="O91" s="6" t="s">
        <v>118</v>
      </c>
      <c r="P91" s="7"/>
    </row>
    <row r="92" customFormat="false" ht="85.05" hidden="false" customHeight="false" outlineLevel="0" collapsed="false">
      <c r="A92" s="6" t="s">
        <v>720</v>
      </c>
      <c r="B92" s="7" t="s">
        <v>25</v>
      </c>
      <c r="C92" s="6" t="s">
        <v>714</v>
      </c>
      <c r="D92" s="7" t="s">
        <v>721</v>
      </c>
      <c r="E92" s="7" t="s">
        <v>722</v>
      </c>
      <c r="F92" s="7" t="s">
        <v>723</v>
      </c>
      <c r="G92" s="7" t="s">
        <v>724</v>
      </c>
      <c r="H92" s="7" t="s">
        <v>725</v>
      </c>
      <c r="I92" s="20" t="s">
        <v>46</v>
      </c>
      <c r="J92" s="6" t="s">
        <v>77</v>
      </c>
      <c r="K92" s="6" t="s">
        <v>115</v>
      </c>
      <c r="L92" s="7" t="s">
        <v>726</v>
      </c>
      <c r="M92" s="21" t="s">
        <v>9</v>
      </c>
      <c r="N92" s="7" t="s">
        <v>117</v>
      </c>
      <c r="O92" s="6" t="s">
        <v>118</v>
      </c>
      <c r="P92" s="7" t="s">
        <v>186</v>
      </c>
    </row>
    <row r="93" customFormat="false" ht="85.05" hidden="false" customHeight="false" outlineLevel="0" collapsed="false">
      <c r="A93" s="6" t="s">
        <v>727</v>
      </c>
      <c r="B93" s="7" t="s">
        <v>25</v>
      </c>
      <c r="C93" s="6" t="s">
        <v>714</v>
      </c>
      <c r="D93" s="7" t="s">
        <v>728</v>
      </c>
      <c r="E93" s="7" t="s">
        <v>722</v>
      </c>
      <c r="F93" s="7" t="s">
        <v>729</v>
      </c>
      <c r="G93" s="7" t="s">
        <v>730</v>
      </c>
      <c r="H93" s="7" t="s">
        <v>731</v>
      </c>
      <c r="I93" s="20" t="s">
        <v>46</v>
      </c>
      <c r="J93" s="6" t="s">
        <v>77</v>
      </c>
      <c r="K93" s="6" t="s">
        <v>57</v>
      </c>
      <c r="L93" s="7" t="s">
        <v>732</v>
      </c>
      <c r="M93" s="6" t="s">
        <v>12</v>
      </c>
      <c r="N93" s="7"/>
      <c r="O93" s="6"/>
      <c r="P93" s="7" t="s">
        <v>528</v>
      </c>
    </row>
    <row r="94" customFormat="false" ht="49.25" hidden="false" customHeight="false" outlineLevel="0" collapsed="false">
      <c r="A94" s="6" t="s">
        <v>733</v>
      </c>
      <c r="B94" s="7" t="s">
        <v>25</v>
      </c>
      <c r="C94" s="6" t="s">
        <v>714</v>
      </c>
      <c r="D94" s="7" t="s">
        <v>734</v>
      </c>
      <c r="E94" s="7" t="s">
        <v>735</v>
      </c>
      <c r="F94" s="7" t="s">
        <v>736</v>
      </c>
      <c r="G94" s="7" t="s">
        <v>737</v>
      </c>
      <c r="H94" s="7" t="s">
        <v>738</v>
      </c>
      <c r="I94" s="20" t="s">
        <v>46</v>
      </c>
      <c r="J94" s="6" t="s">
        <v>77</v>
      </c>
      <c r="K94" s="6" t="s">
        <v>57</v>
      </c>
      <c r="L94" s="7" t="s">
        <v>432</v>
      </c>
      <c r="M94" s="6" t="s">
        <v>12</v>
      </c>
      <c r="N94" s="7"/>
      <c r="O94" s="6"/>
      <c r="P94" s="7" t="s">
        <v>528</v>
      </c>
    </row>
    <row r="95" customFormat="false" ht="49.25" hidden="false" customHeight="false" outlineLevel="0" collapsed="false">
      <c r="A95" s="6" t="s">
        <v>739</v>
      </c>
      <c r="B95" s="7" t="s">
        <v>25</v>
      </c>
      <c r="C95" s="6" t="s">
        <v>714</v>
      </c>
      <c r="D95" s="7" t="s">
        <v>740</v>
      </c>
      <c r="E95" s="7" t="s">
        <v>741</v>
      </c>
      <c r="F95" s="7" t="s">
        <v>742</v>
      </c>
      <c r="G95" s="7" t="s">
        <v>743</v>
      </c>
      <c r="H95" s="7" t="s">
        <v>744</v>
      </c>
      <c r="I95" s="24" t="s">
        <v>49</v>
      </c>
      <c r="J95" s="6" t="s">
        <v>82</v>
      </c>
      <c r="K95" s="6" t="s">
        <v>57</v>
      </c>
      <c r="L95" s="7" t="s">
        <v>432</v>
      </c>
      <c r="M95" s="6" t="s">
        <v>12</v>
      </c>
      <c r="N95" s="7"/>
      <c r="O95" s="6"/>
      <c r="P95" s="7" t="s">
        <v>528</v>
      </c>
    </row>
    <row r="96" customFormat="false" ht="49.25" hidden="false" customHeight="false" outlineLevel="0" collapsed="false">
      <c r="A96" s="6" t="s">
        <v>745</v>
      </c>
      <c r="B96" s="7" t="s">
        <v>25</v>
      </c>
      <c r="C96" s="6" t="s">
        <v>714</v>
      </c>
      <c r="D96" s="7" t="s">
        <v>746</v>
      </c>
      <c r="E96" s="7" t="s">
        <v>741</v>
      </c>
      <c r="F96" s="7" t="s">
        <v>747</v>
      </c>
      <c r="G96" s="7" t="s">
        <v>748</v>
      </c>
      <c r="H96" s="7" t="s">
        <v>749</v>
      </c>
      <c r="I96" s="22" t="s">
        <v>47</v>
      </c>
      <c r="J96" s="6" t="s">
        <v>82</v>
      </c>
      <c r="K96" s="6" t="s">
        <v>57</v>
      </c>
      <c r="L96" s="7" t="s">
        <v>432</v>
      </c>
      <c r="M96" s="6" t="s">
        <v>12</v>
      </c>
      <c r="N96" s="7"/>
      <c r="O96" s="6"/>
      <c r="P96" s="7" t="s">
        <v>528</v>
      </c>
    </row>
    <row r="97" customFormat="false" ht="49.25" hidden="false" customHeight="false" outlineLevel="0" collapsed="false">
      <c r="A97" s="6" t="s">
        <v>750</v>
      </c>
      <c r="B97" s="7" t="s">
        <v>25</v>
      </c>
      <c r="C97" s="6" t="s">
        <v>714</v>
      </c>
      <c r="D97" s="7" t="s">
        <v>751</v>
      </c>
      <c r="E97" s="7" t="s">
        <v>752</v>
      </c>
      <c r="F97" s="7" t="s">
        <v>753</v>
      </c>
      <c r="G97" s="7" t="s">
        <v>754</v>
      </c>
      <c r="H97" s="7" t="s">
        <v>755</v>
      </c>
      <c r="I97" s="20" t="s">
        <v>46</v>
      </c>
      <c r="J97" s="6" t="s">
        <v>77</v>
      </c>
      <c r="K97" s="6" t="s">
        <v>115</v>
      </c>
      <c r="L97" s="7" t="s">
        <v>756</v>
      </c>
      <c r="M97" s="21" t="s">
        <v>9</v>
      </c>
      <c r="N97" s="7" t="s">
        <v>117</v>
      </c>
      <c r="O97" s="6" t="s">
        <v>118</v>
      </c>
      <c r="P97" s="7" t="s">
        <v>308</v>
      </c>
    </row>
    <row r="98" customFormat="false" ht="49.25" hidden="false" customHeight="false" outlineLevel="0" collapsed="false">
      <c r="A98" s="6" t="s">
        <v>757</v>
      </c>
      <c r="B98" s="7" t="s">
        <v>25</v>
      </c>
      <c r="C98" s="6" t="s">
        <v>714</v>
      </c>
      <c r="D98" s="7" t="s">
        <v>758</v>
      </c>
      <c r="E98" s="7" t="s">
        <v>759</v>
      </c>
      <c r="F98" s="7" t="s">
        <v>760</v>
      </c>
      <c r="G98" s="7" t="s">
        <v>761</v>
      </c>
      <c r="H98" s="7" t="s">
        <v>762</v>
      </c>
      <c r="I98" s="20" t="s">
        <v>46</v>
      </c>
      <c r="J98" s="6" t="s">
        <v>82</v>
      </c>
      <c r="K98" s="6" t="s">
        <v>115</v>
      </c>
      <c r="L98" s="7" t="s">
        <v>763</v>
      </c>
      <c r="M98" s="21" t="s">
        <v>9</v>
      </c>
      <c r="N98" s="7" t="s">
        <v>117</v>
      </c>
      <c r="O98" s="6" t="s">
        <v>118</v>
      </c>
      <c r="P98" s="7" t="s">
        <v>264</v>
      </c>
    </row>
    <row r="99" customFormat="false" ht="49.25" hidden="false" customHeight="false" outlineLevel="0" collapsed="false">
      <c r="A99" s="6" t="s">
        <v>65</v>
      </c>
      <c r="B99" s="7" t="s">
        <v>25</v>
      </c>
      <c r="C99" s="6" t="s">
        <v>714</v>
      </c>
      <c r="D99" s="7" t="s">
        <v>764</v>
      </c>
      <c r="E99" s="7" t="s">
        <v>765</v>
      </c>
      <c r="F99" s="7" t="s">
        <v>766</v>
      </c>
      <c r="G99" s="7" t="s">
        <v>767</v>
      </c>
      <c r="H99" s="7" t="s">
        <v>768</v>
      </c>
      <c r="I99" s="24" t="s">
        <v>49</v>
      </c>
      <c r="J99" s="6" t="s">
        <v>77</v>
      </c>
      <c r="K99" s="6" t="s">
        <v>115</v>
      </c>
      <c r="L99" s="7" t="s">
        <v>769</v>
      </c>
      <c r="M99" s="23" t="s">
        <v>10</v>
      </c>
      <c r="N99" s="7" t="s">
        <v>117</v>
      </c>
      <c r="O99" s="6" t="s">
        <v>118</v>
      </c>
      <c r="P99" s="7" t="s">
        <v>770</v>
      </c>
    </row>
    <row r="100" customFormat="false" ht="49.25" hidden="false" customHeight="false" outlineLevel="0" collapsed="false">
      <c r="A100" s="6" t="s">
        <v>771</v>
      </c>
      <c r="B100" s="7" t="s">
        <v>25</v>
      </c>
      <c r="C100" s="6" t="s">
        <v>772</v>
      </c>
      <c r="D100" s="7" t="s">
        <v>773</v>
      </c>
      <c r="E100" s="7" t="s">
        <v>774</v>
      </c>
      <c r="F100" s="7" t="s">
        <v>775</v>
      </c>
      <c r="G100" s="7" t="s">
        <v>776</v>
      </c>
      <c r="H100" s="7" t="s">
        <v>777</v>
      </c>
      <c r="I100" s="20" t="s">
        <v>46</v>
      </c>
      <c r="J100" s="6" t="s">
        <v>77</v>
      </c>
      <c r="K100" s="6" t="s">
        <v>57</v>
      </c>
      <c r="L100" s="7" t="s">
        <v>778</v>
      </c>
      <c r="M100" s="6" t="s">
        <v>12</v>
      </c>
      <c r="N100" s="7"/>
      <c r="O100" s="6"/>
      <c r="P100" s="7" t="s">
        <v>528</v>
      </c>
    </row>
    <row r="101" customFormat="false" ht="73.1" hidden="false" customHeight="false" outlineLevel="0" collapsed="false">
      <c r="A101" s="6" t="s">
        <v>779</v>
      </c>
      <c r="B101" s="7" t="s">
        <v>25</v>
      </c>
      <c r="C101" s="6" t="s">
        <v>772</v>
      </c>
      <c r="D101" s="7" t="s">
        <v>780</v>
      </c>
      <c r="E101" s="7" t="s">
        <v>781</v>
      </c>
      <c r="F101" s="7" t="s">
        <v>782</v>
      </c>
      <c r="G101" s="7" t="s">
        <v>783</v>
      </c>
      <c r="H101" s="7" t="s">
        <v>784</v>
      </c>
      <c r="I101" s="20" t="s">
        <v>46</v>
      </c>
      <c r="J101" s="6" t="s">
        <v>82</v>
      </c>
      <c r="K101" s="6" t="s">
        <v>115</v>
      </c>
      <c r="L101" s="7" t="s">
        <v>785</v>
      </c>
      <c r="M101" s="21" t="s">
        <v>9</v>
      </c>
      <c r="N101" s="7" t="s">
        <v>117</v>
      </c>
      <c r="O101" s="6" t="s">
        <v>118</v>
      </c>
      <c r="P101" s="7"/>
    </row>
    <row r="102" customFormat="false" ht="85.05" hidden="false" customHeight="false" outlineLevel="0" collapsed="false">
      <c r="A102" s="6" t="s">
        <v>786</v>
      </c>
      <c r="B102" s="7" t="s">
        <v>27</v>
      </c>
      <c r="C102" s="6" t="s">
        <v>787</v>
      </c>
      <c r="D102" s="7" t="s">
        <v>788</v>
      </c>
      <c r="E102" s="7" t="s">
        <v>789</v>
      </c>
      <c r="F102" s="7" t="s">
        <v>790</v>
      </c>
      <c r="G102" s="7" t="s">
        <v>791</v>
      </c>
      <c r="H102" s="7" t="s">
        <v>792</v>
      </c>
      <c r="I102" s="20" t="s">
        <v>46</v>
      </c>
      <c r="J102" s="6" t="s">
        <v>77</v>
      </c>
      <c r="K102" s="6" t="s">
        <v>57</v>
      </c>
      <c r="L102" s="7" t="s">
        <v>793</v>
      </c>
      <c r="M102" s="21" t="s">
        <v>9</v>
      </c>
      <c r="N102" s="7" t="s">
        <v>117</v>
      </c>
      <c r="O102" s="6" t="s">
        <v>118</v>
      </c>
      <c r="P102" s="7" t="s">
        <v>520</v>
      </c>
    </row>
    <row r="103" customFormat="false" ht="37.3" hidden="false" customHeight="false" outlineLevel="0" collapsed="false">
      <c r="A103" s="6" t="s">
        <v>794</v>
      </c>
      <c r="B103" s="7" t="s">
        <v>27</v>
      </c>
      <c r="C103" s="6" t="s">
        <v>787</v>
      </c>
      <c r="D103" s="7" t="s">
        <v>795</v>
      </c>
      <c r="E103" s="7" t="s">
        <v>252</v>
      </c>
      <c r="F103" s="7" t="s">
        <v>796</v>
      </c>
      <c r="G103" s="7" t="s">
        <v>797</v>
      </c>
      <c r="H103" s="7" t="s">
        <v>798</v>
      </c>
      <c r="I103" s="22" t="s">
        <v>47</v>
      </c>
      <c r="J103" s="6" t="s">
        <v>77</v>
      </c>
      <c r="K103" s="6" t="s">
        <v>115</v>
      </c>
      <c r="L103" s="7" t="s">
        <v>799</v>
      </c>
      <c r="M103" s="21" t="s">
        <v>9</v>
      </c>
      <c r="N103" s="7" t="s">
        <v>117</v>
      </c>
      <c r="O103" s="6" t="s">
        <v>118</v>
      </c>
      <c r="P103" s="7"/>
    </row>
    <row r="104" customFormat="false" ht="37.3" hidden="false" customHeight="false" outlineLevel="0" collapsed="false">
      <c r="A104" s="6" t="s">
        <v>800</v>
      </c>
      <c r="B104" s="7" t="s">
        <v>27</v>
      </c>
      <c r="C104" s="6" t="s">
        <v>787</v>
      </c>
      <c r="D104" s="7" t="s">
        <v>801</v>
      </c>
      <c r="E104" s="7" t="s">
        <v>802</v>
      </c>
      <c r="F104" s="7" t="s">
        <v>803</v>
      </c>
      <c r="G104" s="7" t="s">
        <v>804</v>
      </c>
      <c r="H104" s="7" t="s">
        <v>805</v>
      </c>
      <c r="I104" s="20" t="s">
        <v>46</v>
      </c>
      <c r="J104" s="6" t="s">
        <v>77</v>
      </c>
      <c r="K104" s="6" t="s">
        <v>115</v>
      </c>
      <c r="L104" s="7" t="s">
        <v>806</v>
      </c>
      <c r="M104" s="21" t="s">
        <v>9</v>
      </c>
      <c r="N104" s="7" t="s">
        <v>117</v>
      </c>
      <c r="O104" s="6" t="s">
        <v>118</v>
      </c>
      <c r="P104" s="7"/>
    </row>
    <row r="105" customFormat="false" ht="25.35" hidden="false" customHeight="false" outlineLevel="0" collapsed="false">
      <c r="A105" s="6" t="s">
        <v>807</v>
      </c>
      <c r="B105" s="7" t="s">
        <v>27</v>
      </c>
      <c r="C105" s="6" t="s">
        <v>787</v>
      </c>
      <c r="D105" s="7" t="s">
        <v>808</v>
      </c>
      <c r="E105" s="7" t="s">
        <v>809</v>
      </c>
      <c r="F105" s="7" t="s">
        <v>810</v>
      </c>
      <c r="G105" s="7" t="s">
        <v>811</v>
      </c>
      <c r="H105" s="7" t="s">
        <v>812</v>
      </c>
      <c r="I105" s="20" t="s">
        <v>46</v>
      </c>
      <c r="J105" s="6" t="s">
        <v>77</v>
      </c>
      <c r="K105" s="6" t="s">
        <v>115</v>
      </c>
      <c r="L105" s="7" t="s">
        <v>813</v>
      </c>
      <c r="M105" s="21" t="s">
        <v>9</v>
      </c>
      <c r="N105" s="7" t="s">
        <v>117</v>
      </c>
      <c r="O105" s="6" t="s">
        <v>118</v>
      </c>
      <c r="P105" s="7"/>
    </row>
    <row r="106" customFormat="false" ht="49.25" hidden="false" customHeight="false" outlineLevel="0" collapsed="false">
      <c r="A106" s="6" t="s">
        <v>814</v>
      </c>
      <c r="B106" s="7" t="s">
        <v>27</v>
      </c>
      <c r="C106" s="6" t="s">
        <v>787</v>
      </c>
      <c r="D106" s="7" t="s">
        <v>815</v>
      </c>
      <c r="E106" s="7" t="s">
        <v>816</v>
      </c>
      <c r="F106" s="7" t="s">
        <v>817</v>
      </c>
      <c r="G106" s="7" t="s">
        <v>818</v>
      </c>
      <c r="H106" s="7" t="s">
        <v>819</v>
      </c>
      <c r="I106" s="20" t="s">
        <v>46</v>
      </c>
      <c r="J106" s="6" t="s">
        <v>77</v>
      </c>
      <c r="K106" s="6" t="s">
        <v>57</v>
      </c>
      <c r="L106" s="7" t="s">
        <v>820</v>
      </c>
      <c r="M106" s="21" t="s">
        <v>9</v>
      </c>
      <c r="N106" s="7" t="s">
        <v>117</v>
      </c>
      <c r="O106" s="6" t="s">
        <v>118</v>
      </c>
      <c r="P106" s="7" t="s">
        <v>520</v>
      </c>
    </row>
    <row r="107" customFormat="false" ht="61.15" hidden="false" customHeight="false" outlineLevel="0" collapsed="false">
      <c r="A107" s="6" t="s">
        <v>821</v>
      </c>
      <c r="B107" s="7" t="s">
        <v>27</v>
      </c>
      <c r="C107" s="6" t="s">
        <v>787</v>
      </c>
      <c r="D107" s="7" t="s">
        <v>822</v>
      </c>
      <c r="E107" s="7" t="s">
        <v>823</v>
      </c>
      <c r="F107" s="7" t="s">
        <v>824</v>
      </c>
      <c r="G107" s="7" t="s">
        <v>825</v>
      </c>
      <c r="H107" s="7" t="s">
        <v>826</v>
      </c>
      <c r="I107" s="22" t="s">
        <v>47</v>
      </c>
      <c r="J107" s="6" t="s">
        <v>77</v>
      </c>
      <c r="K107" s="6" t="s">
        <v>57</v>
      </c>
      <c r="L107" s="7" t="s">
        <v>827</v>
      </c>
      <c r="M107" s="6" t="s">
        <v>12</v>
      </c>
      <c r="N107" s="7"/>
      <c r="O107" s="6"/>
      <c r="P107" s="7" t="s">
        <v>828</v>
      </c>
    </row>
    <row r="108" customFormat="false" ht="73.1" hidden="false" customHeight="false" outlineLevel="0" collapsed="false">
      <c r="A108" s="6" t="s">
        <v>829</v>
      </c>
      <c r="B108" s="7" t="s">
        <v>27</v>
      </c>
      <c r="C108" s="6" t="s">
        <v>787</v>
      </c>
      <c r="D108" s="7" t="s">
        <v>830</v>
      </c>
      <c r="E108" s="7" t="s">
        <v>831</v>
      </c>
      <c r="F108" s="7" t="s">
        <v>832</v>
      </c>
      <c r="G108" s="7" t="s">
        <v>833</v>
      </c>
      <c r="H108" s="7" t="s">
        <v>834</v>
      </c>
      <c r="I108" s="22" t="s">
        <v>47</v>
      </c>
      <c r="J108" s="6" t="s">
        <v>77</v>
      </c>
      <c r="K108" s="6" t="s">
        <v>57</v>
      </c>
      <c r="L108" s="7" t="s">
        <v>835</v>
      </c>
      <c r="M108" s="21" t="s">
        <v>9</v>
      </c>
      <c r="N108" s="7" t="s">
        <v>117</v>
      </c>
      <c r="O108" s="6" t="s">
        <v>118</v>
      </c>
      <c r="P108" s="7" t="s">
        <v>836</v>
      </c>
    </row>
    <row r="109" customFormat="false" ht="97" hidden="false" customHeight="false" outlineLevel="0" collapsed="false">
      <c r="A109" s="6" t="s">
        <v>84</v>
      </c>
      <c r="B109" s="7" t="s">
        <v>27</v>
      </c>
      <c r="C109" s="6" t="s">
        <v>787</v>
      </c>
      <c r="D109" s="7" t="s">
        <v>837</v>
      </c>
      <c r="E109" s="7" t="s">
        <v>838</v>
      </c>
      <c r="F109" s="7" t="s">
        <v>839</v>
      </c>
      <c r="G109" s="7" t="s">
        <v>840</v>
      </c>
      <c r="H109" s="7" t="s">
        <v>841</v>
      </c>
      <c r="I109" s="20" t="s">
        <v>46</v>
      </c>
      <c r="J109" s="6" t="s">
        <v>77</v>
      </c>
      <c r="K109" s="6" t="s">
        <v>57</v>
      </c>
      <c r="L109" s="7" t="s">
        <v>842</v>
      </c>
      <c r="M109" s="23" t="s">
        <v>10</v>
      </c>
      <c r="N109" s="7" t="s">
        <v>843</v>
      </c>
      <c r="O109" s="6" t="s">
        <v>118</v>
      </c>
      <c r="P109" s="7" t="s">
        <v>844</v>
      </c>
    </row>
    <row r="110" customFormat="false" ht="61.15" hidden="false" customHeight="false" outlineLevel="0" collapsed="false">
      <c r="A110" s="6" t="s">
        <v>845</v>
      </c>
      <c r="B110" s="7" t="s">
        <v>27</v>
      </c>
      <c r="C110" s="6" t="s">
        <v>787</v>
      </c>
      <c r="D110" s="7" t="s">
        <v>846</v>
      </c>
      <c r="E110" s="7" t="s">
        <v>847</v>
      </c>
      <c r="F110" s="7" t="s">
        <v>848</v>
      </c>
      <c r="G110" s="7" t="s">
        <v>849</v>
      </c>
      <c r="H110" s="7" t="s">
        <v>850</v>
      </c>
      <c r="I110" s="20" t="s">
        <v>46</v>
      </c>
      <c r="J110" s="6" t="s">
        <v>82</v>
      </c>
      <c r="K110" s="6" t="s">
        <v>115</v>
      </c>
      <c r="L110" s="7" t="s">
        <v>851</v>
      </c>
      <c r="M110" s="21" t="s">
        <v>9</v>
      </c>
      <c r="N110" s="7" t="s">
        <v>117</v>
      </c>
      <c r="O110" s="6" t="s">
        <v>118</v>
      </c>
      <c r="P110" s="7" t="s">
        <v>852</v>
      </c>
    </row>
    <row r="111" customFormat="false" ht="61.15" hidden="false" customHeight="false" outlineLevel="0" collapsed="false">
      <c r="A111" s="6" t="s">
        <v>853</v>
      </c>
      <c r="B111" s="7" t="s">
        <v>27</v>
      </c>
      <c r="C111" s="6" t="s">
        <v>787</v>
      </c>
      <c r="D111" s="7" t="s">
        <v>854</v>
      </c>
      <c r="E111" s="7" t="s">
        <v>855</v>
      </c>
      <c r="F111" s="7" t="s">
        <v>533</v>
      </c>
      <c r="G111" s="7" t="s">
        <v>856</v>
      </c>
      <c r="H111" s="7" t="s">
        <v>857</v>
      </c>
      <c r="I111" s="20" t="s">
        <v>46</v>
      </c>
      <c r="J111" s="6" t="s">
        <v>82</v>
      </c>
      <c r="K111" s="6" t="s">
        <v>115</v>
      </c>
      <c r="L111" s="7" t="s">
        <v>858</v>
      </c>
      <c r="M111" s="21" t="s">
        <v>9</v>
      </c>
      <c r="N111" s="7" t="s">
        <v>117</v>
      </c>
      <c r="O111" s="6" t="s">
        <v>118</v>
      </c>
      <c r="P111" s="7"/>
    </row>
    <row r="112" customFormat="false" ht="37.3" hidden="false" customHeight="false" outlineLevel="0" collapsed="false">
      <c r="A112" s="6" t="s">
        <v>859</v>
      </c>
      <c r="B112" s="7" t="s">
        <v>29</v>
      </c>
      <c r="C112" s="6" t="s">
        <v>860</v>
      </c>
      <c r="D112" s="7" t="s">
        <v>861</v>
      </c>
      <c r="E112" s="7" t="s">
        <v>862</v>
      </c>
      <c r="F112" s="7" t="s">
        <v>863</v>
      </c>
      <c r="G112" s="7" t="s">
        <v>864</v>
      </c>
      <c r="H112" s="7" t="s">
        <v>865</v>
      </c>
      <c r="I112" s="20" t="s">
        <v>46</v>
      </c>
      <c r="J112" s="6" t="s">
        <v>77</v>
      </c>
      <c r="K112" s="6" t="s">
        <v>115</v>
      </c>
      <c r="L112" s="7" t="s">
        <v>866</v>
      </c>
      <c r="M112" s="21" t="s">
        <v>9</v>
      </c>
      <c r="N112" s="7" t="s">
        <v>117</v>
      </c>
      <c r="O112" s="6" t="s">
        <v>118</v>
      </c>
      <c r="P112" s="7"/>
    </row>
    <row r="113" customFormat="false" ht="25.35" hidden="false" customHeight="false" outlineLevel="0" collapsed="false">
      <c r="A113" s="6" t="s">
        <v>867</v>
      </c>
      <c r="B113" s="7" t="s">
        <v>29</v>
      </c>
      <c r="C113" s="6" t="s">
        <v>860</v>
      </c>
      <c r="D113" s="7" t="s">
        <v>868</v>
      </c>
      <c r="E113" s="7" t="s">
        <v>869</v>
      </c>
      <c r="F113" s="7" t="s">
        <v>863</v>
      </c>
      <c r="G113" s="7" t="s">
        <v>870</v>
      </c>
      <c r="H113" s="7" t="s">
        <v>871</v>
      </c>
      <c r="I113" s="22" t="s">
        <v>47</v>
      </c>
      <c r="J113" s="6" t="s">
        <v>77</v>
      </c>
      <c r="K113" s="6" t="s">
        <v>115</v>
      </c>
      <c r="L113" s="7" t="s">
        <v>872</v>
      </c>
      <c r="M113" s="21" t="s">
        <v>9</v>
      </c>
      <c r="N113" s="7" t="s">
        <v>117</v>
      </c>
      <c r="O113" s="6" t="s">
        <v>118</v>
      </c>
      <c r="P113" s="7"/>
    </row>
    <row r="114" customFormat="false" ht="25.35" hidden="false" customHeight="false" outlineLevel="0" collapsed="false">
      <c r="A114" s="6" t="s">
        <v>873</v>
      </c>
      <c r="B114" s="7" t="s">
        <v>29</v>
      </c>
      <c r="C114" s="6" t="s">
        <v>860</v>
      </c>
      <c r="D114" s="7" t="s">
        <v>874</v>
      </c>
      <c r="E114" s="7" t="s">
        <v>875</v>
      </c>
      <c r="F114" s="7" t="s">
        <v>876</v>
      </c>
      <c r="G114" s="7" t="s">
        <v>877</v>
      </c>
      <c r="H114" s="7" t="s">
        <v>878</v>
      </c>
      <c r="I114" s="24" t="s">
        <v>49</v>
      </c>
      <c r="J114" s="6" t="s">
        <v>77</v>
      </c>
      <c r="K114" s="6" t="s">
        <v>115</v>
      </c>
      <c r="L114" s="7" t="s">
        <v>879</v>
      </c>
      <c r="M114" s="21" t="s">
        <v>9</v>
      </c>
      <c r="N114" s="7" t="s">
        <v>117</v>
      </c>
      <c r="O114" s="6" t="s">
        <v>118</v>
      </c>
      <c r="P114" s="7"/>
    </row>
    <row r="115" customFormat="false" ht="97" hidden="false" customHeight="false" outlineLevel="0" collapsed="false">
      <c r="A115" s="6" t="s">
        <v>880</v>
      </c>
      <c r="B115" s="7" t="s">
        <v>29</v>
      </c>
      <c r="C115" s="6" t="s">
        <v>860</v>
      </c>
      <c r="D115" s="7" t="s">
        <v>881</v>
      </c>
      <c r="E115" s="7" t="s">
        <v>882</v>
      </c>
      <c r="F115" s="7" t="s">
        <v>883</v>
      </c>
      <c r="G115" s="7" t="s">
        <v>884</v>
      </c>
      <c r="H115" s="7" t="s">
        <v>885</v>
      </c>
      <c r="I115" s="24" t="s">
        <v>49</v>
      </c>
      <c r="J115" s="6" t="s">
        <v>77</v>
      </c>
      <c r="K115" s="6" t="s">
        <v>115</v>
      </c>
      <c r="L115" s="7" t="s">
        <v>886</v>
      </c>
      <c r="M115" s="21" t="s">
        <v>9</v>
      </c>
      <c r="N115" s="7" t="s">
        <v>117</v>
      </c>
      <c r="O115" s="6" t="s">
        <v>118</v>
      </c>
      <c r="P115" s="7" t="s">
        <v>551</v>
      </c>
    </row>
    <row r="116" customFormat="false" ht="73.1" hidden="false" customHeight="false" outlineLevel="0" collapsed="false">
      <c r="A116" s="6" t="s">
        <v>887</v>
      </c>
      <c r="B116" s="7" t="s">
        <v>29</v>
      </c>
      <c r="C116" s="6" t="s">
        <v>860</v>
      </c>
      <c r="D116" s="7" t="s">
        <v>888</v>
      </c>
      <c r="E116" s="7" t="s">
        <v>889</v>
      </c>
      <c r="F116" s="7" t="s">
        <v>863</v>
      </c>
      <c r="G116" s="7" t="s">
        <v>890</v>
      </c>
      <c r="H116" s="7" t="s">
        <v>891</v>
      </c>
      <c r="I116" s="20" t="s">
        <v>46</v>
      </c>
      <c r="J116" s="6" t="s">
        <v>77</v>
      </c>
      <c r="K116" s="6" t="s">
        <v>115</v>
      </c>
      <c r="L116" s="7" t="s">
        <v>892</v>
      </c>
      <c r="M116" s="21" t="s">
        <v>9</v>
      </c>
      <c r="N116" s="7" t="s">
        <v>117</v>
      </c>
      <c r="O116" s="6" t="s">
        <v>118</v>
      </c>
      <c r="P116" s="7" t="s">
        <v>308</v>
      </c>
    </row>
    <row r="117" customFormat="false" ht="25.35" hidden="false" customHeight="false" outlineLevel="0" collapsed="false">
      <c r="A117" s="6" t="s">
        <v>893</v>
      </c>
      <c r="B117" s="7" t="s">
        <v>29</v>
      </c>
      <c r="C117" s="6" t="s">
        <v>860</v>
      </c>
      <c r="D117" s="7" t="s">
        <v>894</v>
      </c>
      <c r="E117" s="7" t="s">
        <v>895</v>
      </c>
      <c r="F117" s="7" t="s">
        <v>863</v>
      </c>
      <c r="G117" s="7" t="s">
        <v>896</v>
      </c>
      <c r="H117" s="7" t="s">
        <v>897</v>
      </c>
      <c r="I117" s="22" t="s">
        <v>47</v>
      </c>
      <c r="J117" s="6" t="s">
        <v>77</v>
      </c>
      <c r="K117" s="6" t="s">
        <v>115</v>
      </c>
      <c r="L117" s="7" t="s">
        <v>898</v>
      </c>
      <c r="M117" s="21" t="s">
        <v>9</v>
      </c>
      <c r="N117" s="7" t="s">
        <v>117</v>
      </c>
      <c r="O117" s="6" t="s">
        <v>118</v>
      </c>
      <c r="P117" s="7"/>
    </row>
    <row r="118" customFormat="false" ht="49.25" hidden="false" customHeight="false" outlineLevel="0" collapsed="false">
      <c r="A118" s="6" t="s">
        <v>899</v>
      </c>
      <c r="B118" s="7" t="s">
        <v>29</v>
      </c>
      <c r="C118" s="6" t="s">
        <v>860</v>
      </c>
      <c r="D118" s="7" t="s">
        <v>900</v>
      </c>
      <c r="E118" s="7" t="s">
        <v>901</v>
      </c>
      <c r="F118" s="7" t="s">
        <v>902</v>
      </c>
      <c r="G118" s="7" t="s">
        <v>903</v>
      </c>
      <c r="H118" s="7" t="s">
        <v>904</v>
      </c>
      <c r="I118" s="20" t="s">
        <v>46</v>
      </c>
      <c r="J118" s="6" t="s">
        <v>77</v>
      </c>
      <c r="K118" s="6" t="s">
        <v>115</v>
      </c>
      <c r="L118" s="7" t="s">
        <v>905</v>
      </c>
      <c r="M118" s="21" t="s">
        <v>9</v>
      </c>
      <c r="N118" s="7" t="s">
        <v>117</v>
      </c>
      <c r="O118" s="6" t="s">
        <v>118</v>
      </c>
      <c r="P118" s="7"/>
    </row>
    <row r="119" customFormat="false" ht="73.1" hidden="false" customHeight="false" outlineLevel="0" collapsed="false">
      <c r="A119" s="6" t="s">
        <v>906</v>
      </c>
      <c r="B119" s="7" t="s">
        <v>29</v>
      </c>
      <c r="C119" s="6" t="s">
        <v>907</v>
      </c>
      <c r="D119" s="7" t="s">
        <v>908</v>
      </c>
      <c r="E119" s="7" t="s">
        <v>909</v>
      </c>
      <c r="F119" s="7" t="s">
        <v>910</v>
      </c>
      <c r="G119" s="7" t="s">
        <v>911</v>
      </c>
      <c r="H119" s="7" t="s">
        <v>912</v>
      </c>
      <c r="I119" s="20" t="s">
        <v>46</v>
      </c>
      <c r="J119" s="6" t="s">
        <v>77</v>
      </c>
      <c r="K119" s="6" t="s">
        <v>115</v>
      </c>
      <c r="L119" s="7" t="s">
        <v>913</v>
      </c>
      <c r="M119" s="21" t="s">
        <v>9</v>
      </c>
      <c r="N119" s="7" t="s">
        <v>117</v>
      </c>
      <c r="O119" s="6" t="s">
        <v>118</v>
      </c>
      <c r="P119" s="7"/>
    </row>
    <row r="120" customFormat="false" ht="49.25" hidden="false" customHeight="false" outlineLevel="0" collapsed="false">
      <c r="A120" s="6" t="s">
        <v>914</v>
      </c>
      <c r="B120" s="7" t="s">
        <v>29</v>
      </c>
      <c r="C120" s="6" t="s">
        <v>907</v>
      </c>
      <c r="D120" s="7" t="s">
        <v>915</v>
      </c>
      <c r="E120" s="7" t="s">
        <v>916</v>
      </c>
      <c r="F120" s="7" t="s">
        <v>917</v>
      </c>
      <c r="G120" s="7" t="s">
        <v>918</v>
      </c>
      <c r="H120" s="7" t="s">
        <v>919</v>
      </c>
      <c r="I120" s="22" t="s">
        <v>47</v>
      </c>
      <c r="J120" s="6" t="s">
        <v>77</v>
      </c>
      <c r="K120" s="6" t="s">
        <v>115</v>
      </c>
      <c r="L120" s="7" t="s">
        <v>920</v>
      </c>
      <c r="M120" s="6" t="s">
        <v>12</v>
      </c>
      <c r="N120" s="7"/>
      <c r="O120" s="6"/>
      <c r="P120" s="7" t="s">
        <v>410</v>
      </c>
    </row>
    <row r="121" customFormat="false" ht="73.1" hidden="false" customHeight="false" outlineLevel="0" collapsed="false">
      <c r="A121" s="6" t="s">
        <v>921</v>
      </c>
      <c r="B121" s="7" t="s">
        <v>29</v>
      </c>
      <c r="C121" s="6" t="s">
        <v>907</v>
      </c>
      <c r="D121" s="7" t="s">
        <v>922</v>
      </c>
      <c r="E121" s="7" t="s">
        <v>923</v>
      </c>
      <c r="F121" s="7" t="s">
        <v>924</v>
      </c>
      <c r="G121" s="7" t="s">
        <v>925</v>
      </c>
      <c r="H121" s="7" t="s">
        <v>926</v>
      </c>
      <c r="I121" s="20" t="s">
        <v>46</v>
      </c>
      <c r="J121" s="6" t="s">
        <v>77</v>
      </c>
      <c r="K121" s="6" t="s">
        <v>115</v>
      </c>
      <c r="L121" s="7" t="s">
        <v>927</v>
      </c>
      <c r="M121" s="21" t="s">
        <v>9</v>
      </c>
      <c r="N121" s="7" t="s">
        <v>117</v>
      </c>
      <c r="O121" s="6" t="s">
        <v>118</v>
      </c>
      <c r="P121" s="7" t="s">
        <v>308</v>
      </c>
    </row>
    <row r="122" customFormat="false" ht="49.25" hidden="false" customHeight="false" outlineLevel="0" collapsed="false">
      <c r="A122" s="6" t="s">
        <v>928</v>
      </c>
      <c r="B122" s="7" t="s">
        <v>29</v>
      </c>
      <c r="C122" s="6" t="s">
        <v>929</v>
      </c>
      <c r="D122" s="7" t="s">
        <v>930</v>
      </c>
      <c r="E122" s="7" t="s">
        <v>909</v>
      </c>
      <c r="F122" s="7" t="s">
        <v>931</v>
      </c>
      <c r="G122" s="7" t="s">
        <v>932</v>
      </c>
      <c r="H122" s="7" t="s">
        <v>933</v>
      </c>
      <c r="I122" s="20" t="s">
        <v>46</v>
      </c>
      <c r="J122" s="6" t="s">
        <v>77</v>
      </c>
      <c r="K122" s="6" t="s">
        <v>115</v>
      </c>
      <c r="L122" s="7" t="s">
        <v>934</v>
      </c>
      <c r="M122" s="21" t="s">
        <v>9</v>
      </c>
      <c r="N122" s="7" t="s">
        <v>117</v>
      </c>
      <c r="O122" s="6" t="s">
        <v>118</v>
      </c>
      <c r="P122" s="7"/>
    </row>
    <row r="123" customFormat="false" ht="73.1" hidden="false" customHeight="false" outlineLevel="0" collapsed="false">
      <c r="A123" s="6" t="s">
        <v>935</v>
      </c>
      <c r="B123" s="7" t="s">
        <v>29</v>
      </c>
      <c r="C123" s="6" t="s">
        <v>929</v>
      </c>
      <c r="D123" s="7" t="s">
        <v>936</v>
      </c>
      <c r="E123" s="7" t="s">
        <v>916</v>
      </c>
      <c r="F123" s="7" t="s">
        <v>937</v>
      </c>
      <c r="G123" s="7" t="s">
        <v>938</v>
      </c>
      <c r="H123" s="7" t="s">
        <v>939</v>
      </c>
      <c r="I123" s="22" t="s">
        <v>47</v>
      </c>
      <c r="J123" s="6" t="s">
        <v>82</v>
      </c>
      <c r="K123" s="6" t="s">
        <v>115</v>
      </c>
      <c r="L123" s="7" t="s">
        <v>940</v>
      </c>
      <c r="M123" s="21" t="s">
        <v>9</v>
      </c>
      <c r="N123" s="7" t="s">
        <v>117</v>
      </c>
      <c r="O123" s="6" t="s">
        <v>118</v>
      </c>
      <c r="P123" s="7" t="s">
        <v>264</v>
      </c>
    </row>
    <row r="124" customFormat="false" ht="85.05" hidden="false" customHeight="false" outlineLevel="0" collapsed="false">
      <c r="A124" s="6" t="s">
        <v>941</v>
      </c>
      <c r="B124" s="7" t="s">
        <v>29</v>
      </c>
      <c r="C124" s="6" t="s">
        <v>942</v>
      </c>
      <c r="D124" s="7" t="s">
        <v>943</v>
      </c>
      <c r="E124" s="7" t="s">
        <v>944</v>
      </c>
      <c r="F124" s="7" t="s">
        <v>945</v>
      </c>
      <c r="G124" s="7" t="s">
        <v>946</v>
      </c>
      <c r="H124" s="7" t="s">
        <v>947</v>
      </c>
      <c r="I124" s="20" t="s">
        <v>46</v>
      </c>
      <c r="J124" s="6" t="s">
        <v>77</v>
      </c>
      <c r="K124" s="6" t="s">
        <v>57</v>
      </c>
      <c r="L124" s="7" t="s">
        <v>948</v>
      </c>
      <c r="M124" s="21" t="s">
        <v>9</v>
      </c>
      <c r="N124" s="7" t="s">
        <v>117</v>
      </c>
      <c r="O124" s="6" t="s">
        <v>118</v>
      </c>
      <c r="P124" s="7" t="s">
        <v>949</v>
      </c>
    </row>
    <row r="125" customFormat="false" ht="49.25" hidden="false" customHeight="false" outlineLevel="0" collapsed="false">
      <c r="A125" s="6" t="s">
        <v>950</v>
      </c>
      <c r="B125" s="7" t="s">
        <v>29</v>
      </c>
      <c r="C125" s="6" t="s">
        <v>942</v>
      </c>
      <c r="D125" s="7" t="s">
        <v>951</v>
      </c>
      <c r="E125" s="7" t="s">
        <v>952</v>
      </c>
      <c r="F125" s="7" t="s">
        <v>953</v>
      </c>
      <c r="G125" s="7" t="s">
        <v>954</v>
      </c>
      <c r="H125" s="7" t="s">
        <v>955</v>
      </c>
      <c r="I125" s="20" t="s">
        <v>46</v>
      </c>
      <c r="J125" s="6" t="s">
        <v>77</v>
      </c>
      <c r="K125" s="6" t="s">
        <v>115</v>
      </c>
      <c r="L125" s="7" t="s">
        <v>956</v>
      </c>
      <c r="M125" s="21" t="s">
        <v>9</v>
      </c>
      <c r="N125" s="7" t="s">
        <v>117</v>
      </c>
      <c r="O125" s="6" t="s">
        <v>118</v>
      </c>
      <c r="P125" s="7" t="s">
        <v>264</v>
      </c>
    </row>
    <row r="126" customFormat="false" ht="25.35" hidden="false" customHeight="false" outlineLevel="0" collapsed="false">
      <c r="A126" s="6" t="s">
        <v>957</v>
      </c>
      <c r="B126" s="7" t="s">
        <v>29</v>
      </c>
      <c r="C126" s="6" t="s">
        <v>942</v>
      </c>
      <c r="D126" s="7" t="s">
        <v>958</v>
      </c>
      <c r="E126" s="7" t="s">
        <v>916</v>
      </c>
      <c r="F126" s="7" t="s">
        <v>863</v>
      </c>
      <c r="G126" s="7" t="s">
        <v>959</v>
      </c>
      <c r="H126" s="7" t="s">
        <v>960</v>
      </c>
      <c r="I126" s="24" t="s">
        <v>49</v>
      </c>
      <c r="J126" s="6" t="s">
        <v>77</v>
      </c>
      <c r="K126" s="6" t="s">
        <v>115</v>
      </c>
      <c r="L126" s="7" t="s">
        <v>402</v>
      </c>
      <c r="M126" s="21" t="s">
        <v>9</v>
      </c>
      <c r="N126" s="7" t="s">
        <v>117</v>
      </c>
      <c r="O126" s="6" t="s">
        <v>118</v>
      </c>
      <c r="P126" s="7"/>
    </row>
    <row r="127" customFormat="false" ht="97" hidden="false" customHeight="false" outlineLevel="0" collapsed="false">
      <c r="A127" s="6" t="s">
        <v>961</v>
      </c>
      <c r="B127" s="7" t="s">
        <v>31</v>
      </c>
      <c r="C127" s="6" t="s">
        <v>962</v>
      </c>
      <c r="D127" s="7" t="s">
        <v>963</v>
      </c>
      <c r="E127" s="7" t="s">
        <v>964</v>
      </c>
      <c r="F127" s="7" t="s">
        <v>965</v>
      </c>
      <c r="G127" s="7" t="s">
        <v>966</v>
      </c>
      <c r="H127" s="7" t="s">
        <v>967</v>
      </c>
      <c r="I127" s="20" t="s">
        <v>46</v>
      </c>
      <c r="J127" s="6" t="s">
        <v>77</v>
      </c>
      <c r="K127" s="6" t="s">
        <v>115</v>
      </c>
      <c r="L127" s="7" t="s">
        <v>968</v>
      </c>
      <c r="M127" s="21" t="s">
        <v>9</v>
      </c>
      <c r="N127" s="7" t="s">
        <v>117</v>
      </c>
      <c r="O127" s="6" t="s">
        <v>118</v>
      </c>
      <c r="P127" s="7" t="s">
        <v>969</v>
      </c>
    </row>
    <row r="128" customFormat="false" ht="61.15" hidden="false" customHeight="false" outlineLevel="0" collapsed="false">
      <c r="A128" s="6" t="s">
        <v>970</v>
      </c>
      <c r="B128" s="7" t="s">
        <v>31</v>
      </c>
      <c r="C128" s="6" t="s">
        <v>962</v>
      </c>
      <c r="D128" s="7" t="s">
        <v>971</v>
      </c>
      <c r="E128" s="7" t="s">
        <v>972</v>
      </c>
      <c r="F128" s="7" t="s">
        <v>973</v>
      </c>
      <c r="G128" s="7" t="s">
        <v>974</v>
      </c>
      <c r="H128" s="7" t="s">
        <v>975</v>
      </c>
      <c r="I128" s="20" t="s">
        <v>46</v>
      </c>
      <c r="J128" s="6" t="s">
        <v>77</v>
      </c>
      <c r="K128" s="6" t="s">
        <v>115</v>
      </c>
      <c r="L128" s="7" t="s">
        <v>976</v>
      </c>
      <c r="M128" s="21" t="s">
        <v>9</v>
      </c>
      <c r="N128" s="7" t="s">
        <v>117</v>
      </c>
      <c r="O128" s="6" t="s">
        <v>118</v>
      </c>
      <c r="P128" s="7" t="s">
        <v>308</v>
      </c>
    </row>
    <row r="129" customFormat="false" ht="61.15" hidden="false" customHeight="false" outlineLevel="0" collapsed="false">
      <c r="A129" s="6" t="s">
        <v>977</v>
      </c>
      <c r="B129" s="7" t="s">
        <v>31</v>
      </c>
      <c r="C129" s="6" t="s">
        <v>978</v>
      </c>
      <c r="D129" s="7" t="s">
        <v>979</v>
      </c>
      <c r="E129" s="7" t="s">
        <v>980</v>
      </c>
      <c r="F129" s="7" t="s">
        <v>981</v>
      </c>
      <c r="G129" s="7" t="s">
        <v>982</v>
      </c>
      <c r="H129" s="7" t="s">
        <v>983</v>
      </c>
      <c r="I129" s="20" t="s">
        <v>46</v>
      </c>
      <c r="J129" s="6" t="s">
        <v>77</v>
      </c>
      <c r="K129" s="6" t="s">
        <v>115</v>
      </c>
      <c r="L129" s="7" t="s">
        <v>984</v>
      </c>
      <c r="M129" s="21" t="s">
        <v>9</v>
      </c>
      <c r="N129" s="7" t="s">
        <v>117</v>
      </c>
      <c r="O129" s="6" t="s">
        <v>118</v>
      </c>
      <c r="P129" s="7" t="s">
        <v>186</v>
      </c>
    </row>
    <row r="130" customFormat="false" ht="37.3" hidden="false" customHeight="false" outlineLevel="0" collapsed="false">
      <c r="A130" s="6" t="s">
        <v>985</v>
      </c>
      <c r="B130" s="7" t="s">
        <v>31</v>
      </c>
      <c r="C130" s="6" t="s">
        <v>978</v>
      </c>
      <c r="D130" s="7" t="s">
        <v>986</v>
      </c>
      <c r="E130" s="7" t="s">
        <v>987</v>
      </c>
      <c r="F130" s="7" t="s">
        <v>988</v>
      </c>
      <c r="G130" s="7" t="s">
        <v>989</v>
      </c>
      <c r="H130" s="7" t="s">
        <v>990</v>
      </c>
      <c r="I130" s="24" t="s">
        <v>49</v>
      </c>
      <c r="J130" s="6" t="s">
        <v>77</v>
      </c>
      <c r="K130" s="6" t="s">
        <v>115</v>
      </c>
      <c r="L130" s="7" t="s">
        <v>991</v>
      </c>
      <c r="M130" s="21" t="s">
        <v>9</v>
      </c>
      <c r="N130" s="7" t="s">
        <v>117</v>
      </c>
      <c r="O130" s="6" t="s">
        <v>118</v>
      </c>
      <c r="P130" s="7"/>
    </row>
    <row r="131" customFormat="false" ht="97" hidden="false" customHeight="false" outlineLevel="0" collapsed="false">
      <c r="A131" s="6" t="s">
        <v>70</v>
      </c>
      <c r="B131" s="7" t="s">
        <v>31</v>
      </c>
      <c r="C131" s="6" t="s">
        <v>978</v>
      </c>
      <c r="D131" s="7" t="s">
        <v>992</v>
      </c>
      <c r="E131" s="7" t="s">
        <v>980</v>
      </c>
      <c r="F131" s="7" t="s">
        <v>993</v>
      </c>
      <c r="G131" s="7" t="s">
        <v>994</v>
      </c>
      <c r="H131" s="7" t="s">
        <v>995</v>
      </c>
      <c r="I131" s="24" t="s">
        <v>49</v>
      </c>
      <c r="J131" s="6" t="s">
        <v>77</v>
      </c>
      <c r="K131" s="6" t="s">
        <v>115</v>
      </c>
      <c r="L131" s="7" t="s">
        <v>996</v>
      </c>
      <c r="M131" s="23" t="s">
        <v>10</v>
      </c>
      <c r="N131" s="7" t="s">
        <v>117</v>
      </c>
      <c r="O131" s="6" t="s">
        <v>118</v>
      </c>
      <c r="P131" s="7" t="s">
        <v>997</v>
      </c>
    </row>
    <row r="132" customFormat="false" ht="49.25" hidden="false" customHeight="false" outlineLevel="0" collapsed="false">
      <c r="A132" s="6" t="s">
        <v>998</v>
      </c>
      <c r="B132" s="7" t="s">
        <v>31</v>
      </c>
      <c r="C132" s="6" t="s">
        <v>978</v>
      </c>
      <c r="D132" s="7" t="s">
        <v>999</v>
      </c>
      <c r="E132" s="7" t="s">
        <v>1000</v>
      </c>
      <c r="F132" s="7" t="s">
        <v>1001</v>
      </c>
      <c r="G132" s="7" t="s">
        <v>1002</v>
      </c>
      <c r="H132" s="7" t="s">
        <v>1003</v>
      </c>
      <c r="I132" s="20" t="s">
        <v>46</v>
      </c>
      <c r="J132" s="6" t="s">
        <v>82</v>
      </c>
      <c r="K132" s="6" t="s">
        <v>115</v>
      </c>
      <c r="L132" s="7" t="s">
        <v>1004</v>
      </c>
      <c r="M132" s="21" t="s">
        <v>9</v>
      </c>
      <c r="N132" s="7" t="s">
        <v>117</v>
      </c>
      <c r="O132" s="6" t="s">
        <v>118</v>
      </c>
      <c r="P132" s="7" t="s">
        <v>308</v>
      </c>
    </row>
    <row r="133" customFormat="false" ht="37.3" hidden="false" customHeight="false" outlineLevel="0" collapsed="false">
      <c r="A133" s="6" t="s">
        <v>1005</v>
      </c>
      <c r="B133" s="7" t="s">
        <v>31</v>
      </c>
      <c r="C133" s="6" t="s">
        <v>978</v>
      </c>
      <c r="D133" s="7" t="s">
        <v>1006</v>
      </c>
      <c r="E133" s="7" t="s">
        <v>1007</v>
      </c>
      <c r="F133" s="7" t="s">
        <v>533</v>
      </c>
      <c r="G133" s="7" t="s">
        <v>1008</v>
      </c>
      <c r="H133" s="7" t="s">
        <v>1009</v>
      </c>
      <c r="I133" s="24" t="s">
        <v>49</v>
      </c>
      <c r="J133" s="6" t="s">
        <v>77</v>
      </c>
      <c r="K133" s="6" t="s">
        <v>115</v>
      </c>
      <c r="L133" s="7" t="s">
        <v>1010</v>
      </c>
      <c r="M133" s="21" t="s">
        <v>9</v>
      </c>
      <c r="N133" s="7" t="s">
        <v>117</v>
      </c>
      <c r="O133" s="6" t="s">
        <v>118</v>
      </c>
      <c r="P133" s="7"/>
    </row>
    <row r="134" customFormat="false" ht="85.05" hidden="false" customHeight="false" outlineLevel="0" collapsed="false">
      <c r="A134" s="6" t="s">
        <v>1011</v>
      </c>
      <c r="B134" s="7" t="s">
        <v>31</v>
      </c>
      <c r="C134" s="6" t="s">
        <v>1012</v>
      </c>
      <c r="D134" s="7" t="s">
        <v>1013</v>
      </c>
      <c r="E134" s="7" t="s">
        <v>1014</v>
      </c>
      <c r="F134" s="7" t="s">
        <v>1015</v>
      </c>
      <c r="G134" s="7" t="s">
        <v>1016</v>
      </c>
      <c r="H134" s="7" t="s">
        <v>1017</v>
      </c>
      <c r="I134" s="20" t="s">
        <v>46</v>
      </c>
      <c r="J134" s="6" t="s">
        <v>77</v>
      </c>
      <c r="K134" s="6" t="s">
        <v>57</v>
      </c>
      <c r="L134" s="7" t="s">
        <v>1018</v>
      </c>
      <c r="M134" s="21" t="s">
        <v>9</v>
      </c>
      <c r="N134" s="7" t="s">
        <v>117</v>
      </c>
      <c r="O134" s="6" t="s">
        <v>118</v>
      </c>
      <c r="P134" s="7" t="s">
        <v>520</v>
      </c>
    </row>
    <row r="135" customFormat="false" ht="49.25" hidden="false" customHeight="false" outlineLevel="0" collapsed="false">
      <c r="A135" s="6" t="s">
        <v>1019</v>
      </c>
      <c r="B135" s="7" t="s">
        <v>31</v>
      </c>
      <c r="C135" s="6" t="s">
        <v>1020</v>
      </c>
      <c r="D135" s="7" t="s">
        <v>1021</v>
      </c>
      <c r="E135" s="7" t="s">
        <v>1022</v>
      </c>
      <c r="F135" s="7" t="s">
        <v>1015</v>
      </c>
      <c r="G135" s="7" t="s">
        <v>1023</v>
      </c>
      <c r="H135" s="7" t="s">
        <v>1024</v>
      </c>
      <c r="I135" s="20" t="s">
        <v>46</v>
      </c>
      <c r="J135" s="6" t="s">
        <v>82</v>
      </c>
      <c r="K135" s="6" t="s">
        <v>115</v>
      </c>
      <c r="L135" s="7" t="s">
        <v>1025</v>
      </c>
      <c r="M135" s="21" t="s">
        <v>9</v>
      </c>
      <c r="N135" s="7" t="s">
        <v>117</v>
      </c>
      <c r="O135" s="6" t="s">
        <v>118</v>
      </c>
      <c r="P135" s="7" t="s">
        <v>264</v>
      </c>
    </row>
    <row r="136" customFormat="false" ht="25.35" hidden="false" customHeight="false" outlineLevel="0" collapsed="false">
      <c r="A136" s="6" t="s">
        <v>1026</v>
      </c>
      <c r="B136" s="7" t="s">
        <v>31</v>
      </c>
      <c r="C136" s="6" t="s">
        <v>1020</v>
      </c>
      <c r="D136" s="7" t="s">
        <v>1027</v>
      </c>
      <c r="E136" s="7" t="s">
        <v>1028</v>
      </c>
      <c r="F136" s="7" t="s">
        <v>1029</v>
      </c>
      <c r="G136" s="7" t="s">
        <v>1030</v>
      </c>
      <c r="H136" s="7" t="s">
        <v>1031</v>
      </c>
      <c r="I136" s="24" t="s">
        <v>49</v>
      </c>
      <c r="J136" s="6" t="s">
        <v>77</v>
      </c>
      <c r="K136" s="6" t="s">
        <v>115</v>
      </c>
      <c r="L136" s="7" t="s">
        <v>1032</v>
      </c>
      <c r="M136" s="21" t="s">
        <v>9</v>
      </c>
      <c r="N136" s="7" t="s">
        <v>117</v>
      </c>
      <c r="O136" s="6" t="s">
        <v>118</v>
      </c>
      <c r="P136" s="7"/>
    </row>
  </sheetData>
  <autoFilter ref="A1:P136"/>
  <dataValidations count="1">
    <dataValidation allowBlank="true" errorStyle="stop" operator="between" showDropDown="false" showErrorMessage="false" showInputMessage="false" sqref="M2:M136" type="list">
      <formula1>"Pass,Fail,Blocked,Chưa thực hiện"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28"/>
    <col collapsed="false" customWidth="true" hidden="false" outlineLevel="0" max="6" min="6" style="0" width="30"/>
    <col collapsed="false" customWidth="true" hidden="false" outlineLevel="0" max="7" min="7" style="0" width="38"/>
    <col collapsed="false" customWidth="true" hidden="false" outlineLevel="0" max="8" min="8" style="0" width="46"/>
    <col collapsed="false" customWidth="true" hidden="false" outlineLevel="0" max="9" min="9" style="0" width="11"/>
    <col collapsed="false" customWidth="true" hidden="false" outlineLevel="0" max="11" min="10" style="0" width="12"/>
    <col collapsed="false" customWidth="true" hidden="false" outlineLevel="0" max="12" min="12" style="0" width="26"/>
    <col collapsed="false" customWidth="true" hidden="false" outlineLevel="0" max="14" min="13" style="0" width="14"/>
    <col collapsed="false" customWidth="true" hidden="false" outlineLevel="0" max="15" min="15" style="0" width="13"/>
    <col collapsed="false" customWidth="true" hidden="false" outlineLevel="0" max="16" min="16" style="0" width="20"/>
  </cols>
  <sheetData>
    <row r="1" customFormat="false" ht="31.5" hidden="false" customHeight="true" outlineLevel="0" collapsed="false">
      <c r="A1" s="5" t="s">
        <v>60</v>
      </c>
      <c r="B1" s="5" t="s">
        <v>6</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customFormat="false" ht="97" hidden="false" customHeight="false" outlineLevel="0" collapsed="false">
      <c r="A2" s="6" t="s">
        <v>108</v>
      </c>
      <c r="B2" s="7" t="s">
        <v>15</v>
      </c>
      <c r="C2" s="6" t="s">
        <v>109</v>
      </c>
      <c r="D2" s="7" t="s">
        <v>110</v>
      </c>
      <c r="E2" s="7" t="s">
        <v>111</v>
      </c>
      <c r="F2" s="7" t="s">
        <v>112</v>
      </c>
      <c r="G2" s="7" t="s">
        <v>113</v>
      </c>
      <c r="H2" s="7" t="s">
        <v>114</v>
      </c>
      <c r="I2" s="20" t="s">
        <v>46</v>
      </c>
      <c r="J2" s="6" t="s">
        <v>77</v>
      </c>
      <c r="K2" s="6" t="s">
        <v>115</v>
      </c>
      <c r="L2" s="7" t="s">
        <v>116</v>
      </c>
      <c r="M2" s="21" t="s">
        <v>9</v>
      </c>
      <c r="N2" s="7" t="s">
        <v>117</v>
      </c>
      <c r="O2" s="6" t="s">
        <v>118</v>
      </c>
      <c r="P2" s="7" t="s">
        <v>119</v>
      </c>
    </row>
    <row r="3" customFormat="false" ht="25.35" hidden="false" customHeight="false" outlineLevel="0" collapsed="false">
      <c r="A3" s="6" t="s">
        <v>120</v>
      </c>
      <c r="B3" s="7" t="s">
        <v>15</v>
      </c>
      <c r="C3" s="6" t="s">
        <v>109</v>
      </c>
      <c r="D3" s="7" t="s">
        <v>121</v>
      </c>
      <c r="E3" s="7" t="s">
        <v>122</v>
      </c>
      <c r="F3" s="7" t="s">
        <v>123</v>
      </c>
      <c r="G3" s="7" t="s">
        <v>124</v>
      </c>
      <c r="H3" s="7" t="s">
        <v>125</v>
      </c>
      <c r="I3" s="22" t="s">
        <v>47</v>
      </c>
      <c r="J3" s="6" t="s">
        <v>77</v>
      </c>
      <c r="K3" s="6" t="s">
        <v>115</v>
      </c>
      <c r="L3" s="7" t="s">
        <v>126</v>
      </c>
      <c r="M3" s="21" t="s">
        <v>9</v>
      </c>
      <c r="N3" s="7" t="s">
        <v>117</v>
      </c>
      <c r="O3" s="6" t="s">
        <v>118</v>
      </c>
      <c r="P3" s="7"/>
    </row>
    <row r="4" customFormat="false" ht="25.35" hidden="false" customHeight="false" outlineLevel="0" collapsed="false">
      <c r="A4" s="6" t="s">
        <v>127</v>
      </c>
      <c r="B4" s="7" t="s">
        <v>15</v>
      </c>
      <c r="C4" s="6" t="s">
        <v>109</v>
      </c>
      <c r="D4" s="7" t="s">
        <v>128</v>
      </c>
      <c r="E4" s="7" t="s">
        <v>122</v>
      </c>
      <c r="F4" s="7" t="s">
        <v>129</v>
      </c>
      <c r="G4" s="7" t="s">
        <v>124</v>
      </c>
      <c r="H4" s="7" t="s">
        <v>125</v>
      </c>
      <c r="I4" s="22" t="s">
        <v>47</v>
      </c>
      <c r="J4" s="6" t="s">
        <v>77</v>
      </c>
      <c r="K4" s="6" t="s">
        <v>115</v>
      </c>
      <c r="L4" s="7" t="s">
        <v>126</v>
      </c>
      <c r="M4" s="21" t="s">
        <v>9</v>
      </c>
      <c r="N4" s="7" t="s">
        <v>117</v>
      </c>
      <c r="O4" s="6" t="s">
        <v>118</v>
      </c>
      <c r="P4" s="7"/>
    </row>
    <row r="5" customFormat="false" ht="25.35" hidden="false" customHeight="false" outlineLevel="0" collapsed="false">
      <c r="A5" s="6" t="s">
        <v>130</v>
      </c>
      <c r="B5" s="7" t="s">
        <v>15</v>
      </c>
      <c r="C5" s="6" t="s">
        <v>109</v>
      </c>
      <c r="D5" s="7" t="s">
        <v>131</v>
      </c>
      <c r="E5" s="7" t="s">
        <v>122</v>
      </c>
      <c r="F5" s="7" t="s">
        <v>132</v>
      </c>
      <c r="G5" s="7" t="s">
        <v>124</v>
      </c>
      <c r="H5" s="7" t="s">
        <v>125</v>
      </c>
      <c r="I5" s="22" t="s">
        <v>47</v>
      </c>
      <c r="J5" s="6" t="s">
        <v>77</v>
      </c>
      <c r="K5" s="6" t="s">
        <v>115</v>
      </c>
      <c r="L5" s="7" t="s">
        <v>126</v>
      </c>
      <c r="M5" s="21" t="s">
        <v>9</v>
      </c>
      <c r="N5" s="7" t="s">
        <v>117</v>
      </c>
      <c r="O5" s="6" t="s">
        <v>118</v>
      </c>
      <c r="P5" s="7"/>
    </row>
    <row r="6" customFormat="false" ht="25.35" hidden="false" customHeight="false" outlineLevel="0" collapsed="false">
      <c r="A6" s="6" t="s">
        <v>133</v>
      </c>
      <c r="B6" s="7" t="s">
        <v>15</v>
      </c>
      <c r="C6" s="6" t="s">
        <v>109</v>
      </c>
      <c r="D6" s="7" t="s">
        <v>134</v>
      </c>
      <c r="E6" s="7" t="s">
        <v>122</v>
      </c>
      <c r="F6" s="7" t="s">
        <v>135</v>
      </c>
      <c r="G6" s="7" t="s">
        <v>124</v>
      </c>
      <c r="H6" s="7" t="s">
        <v>125</v>
      </c>
      <c r="I6" s="22" t="s">
        <v>47</v>
      </c>
      <c r="J6" s="6" t="s">
        <v>82</v>
      </c>
      <c r="K6" s="6" t="s">
        <v>115</v>
      </c>
      <c r="L6" s="7" t="s">
        <v>126</v>
      </c>
      <c r="M6" s="21" t="s">
        <v>9</v>
      </c>
      <c r="N6" s="7" t="s">
        <v>117</v>
      </c>
      <c r="O6" s="6" t="s">
        <v>118</v>
      </c>
      <c r="P6" s="7"/>
    </row>
    <row r="7" customFormat="false" ht="37.3" hidden="false" customHeight="false" outlineLevel="0" collapsed="false">
      <c r="A7" s="6" t="s">
        <v>88</v>
      </c>
      <c r="B7" s="7" t="s">
        <v>15</v>
      </c>
      <c r="C7" s="6" t="s">
        <v>109</v>
      </c>
      <c r="D7" s="7" t="s">
        <v>136</v>
      </c>
      <c r="E7" s="7" t="s">
        <v>137</v>
      </c>
      <c r="F7" s="7" t="s">
        <v>138</v>
      </c>
      <c r="G7" s="7" t="s">
        <v>139</v>
      </c>
      <c r="H7" s="7" t="s">
        <v>140</v>
      </c>
      <c r="I7" s="22" t="s">
        <v>47</v>
      </c>
      <c r="J7" s="6" t="s">
        <v>77</v>
      </c>
      <c r="K7" s="6" t="s">
        <v>115</v>
      </c>
      <c r="L7" s="7" t="s">
        <v>141</v>
      </c>
      <c r="M7" s="23" t="s">
        <v>10</v>
      </c>
      <c r="N7" s="7" t="s">
        <v>117</v>
      </c>
      <c r="O7" s="6" t="s">
        <v>118</v>
      </c>
      <c r="P7" s="7" t="s">
        <v>142</v>
      </c>
    </row>
    <row r="8" customFormat="false" ht="61.15" hidden="false" customHeight="false" outlineLevel="0" collapsed="false">
      <c r="A8" s="6" t="s">
        <v>143</v>
      </c>
      <c r="B8" s="7" t="s">
        <v>15</v>
      </c>
      <c r="C8" s="6" t="s">
        <v>109</v>
      </c>
      <c r="D8" s="7" t="s">
        <v>144</v>
      </c>
      <c r="E8" s="7" t="s">
        <v>145</v>
      </c>
      <c r="F8" s="7" t="s">
        <v>146</v>
      </c>
      <c r="G8" s="7" t="s">
        <v>147</v>
      </c>
      <c r="H8" s="7" t="s">
        <v>148</v>
      </c>
      <c r="I8" s="22" t="s">
        <v>47</v>
      </c>
      <c r="J8" s="6" t="s">
        <v>77</v>
      </c>
      <c r="K8" s="6" t="s">
        <v>115</v>
      </c>
      <c r="L8" s="7" t="s">
        <v>149</v>
      </c>
      <c r="M8" s="6" t="s">
        <v>12</v>
      </c>
      <c r="N8" s="7"/>
      <c r="O8" s="6"/>
      <c r="P8" s="7" t="s">
        <v>150</v>
      </c>
    </row>
    <row r="9" customFormat="false" ht="61.15" hidden="false" customHeight="false" outlineLevel="0" collapsed="false">
      <c r="A9" s="6" t="s">
        <v>151</v>
      </c>
      <c r="B9" s="7" t="s">
        <v>15</v>
      </c>
      <c r="C9" s="6" t="s">
        <v>109</v>
      </c>
      <c r="D9" s="7" t="s">
        <v>152</v>
      </c>
      <c r="E9" s="7" t="s">
        <v>145</v>
      </c>
      <c r="F9" s="7" t="s">
        <v>153</v>
      </c>
      <c r="G9" s="7" t="s">
        <v>154</v>
      </c>
      <c r="H9" s="7" t="s">
        <v>155</v>
      </c>
      <c r="I9" s="22" t="s">
        <v>47</v>
      </c>
      <c r="J9" s="6" t="s">
        <v>82</v>
      </c>
      <c r="K9" s="6" t="s">
        <v>115</v>
      </c>
      <c r="L9" s="7" t="s">
        <v>149</v>
      </c>
      <c r="M9" s="6" t="s">
        <v>12</v>
      </c>
      <c r="N9" s="7"/>
      <c r="O9" s="6"/>
      <c r="P9" s="7" t="s">
        <v>150</v>
      </c>
    </row>
    <row r="10" customFormat="false" ht="49.25" hidden="false" customHeight="false" outlineLevel="0" collapsed="false">
      <c r="A10" s="6" t="s">
        <v>156</v>
      </c>
      <c r="B10" s="7" t="s">
        <v>15</v>
      </c>
      <c r="C10" s="6" t="s">
        <v>109</v>
      </c>
      <c r="D10" s="7" t="s">
        <v>157</v>
      </c>
      <c r="E10" s="7" t="s">
        <v>158</v>
      </c>
      <c r="F10" s="7" t="s">
        <v>159</v>
      </c>
      <c r="G10" s="7" t="s">
        <v>160</v>
      </c>
      <c r="H10" s="7" t="s">
        <v>161</v>
      </c>
      <c r="I10" s="24" t="s">
        <v>49</v>
      </c>
      <c r="J10" s="6" t="s">
        <v>77</v>
      </c>
      <c r="K10" s="6" t="s">
        <v>115</v>
      </c>
      <c r="L10" s="7" t="s">
        <v>162</v>
      </c>
      <c r="M10" s="21" t="s">
        <v>9</v>
      </c>
      <c r="N10" s="7" t="s">
        <v>117</v>
      </c>
      <c r="O10" s="6" t="s">
        <v>118</v>
      </c>
      <c r="P10" s="7"/>
    </row>
    <row r="11" customFormat="false" ht="61.15" hidden="false" customHeight="false" outlineLevel="0" collapsed="false">
      <c r="A11" s="6" t="s">
        <v>163</v>
      </c>
      <c r="B11" s="7" t="s">
        <v>15</v>
      </c>
      <c r="C11" s="6" t="s">
        <v>109</v>
      </c>
      <c r="D11" s="7" t="s">
        <v>164</v>
      </c>
      <c r="E11" s="7" t="s">
        <v>165</v>
      </c>
      <c r="F11" s="7" t="s">
        <v>166</v>
      </c>
      <c r="G11" s="7" t="s">
        <v>167</v>
      </c>
      <c r="H11" s="7" t="s">
        <v>168</v>
      </c>
      <c r="I11" s="20" t="s">
        <v>46</v>
      </c>
      <c r="J11" s="6" t="s">
        <v>82</v>
      </c>
      <c r="K11" s="6" t="s">
        <v>57</v>
      </c>
      <c r="L11" s="7" t="s">
        <v>169</v>
      </c>
      <c r="M11" s="6" t="s">
        <v>12</v>
      </c>
      <c r="N11" s="7"/>
      <c r="O11" s="6"/>
      <c r="P11" s="7" t="s">
        <v>170</v>
      </c>
    </row>
    <row r="12" customFormat="false" ht="73.1" hidden="false" customHeight="false" outlineLevel="0" collapsed="false">
      <c r="A12" s="6" t="s">
        <v>171</v>
      </c>
      <c r="B12" s="7" t="s">
        <v>15</v>
      </c>
      <c r="C12" s="6" t="s">
        <v>109</v>
      </c>
      <c r="D12" s="7" t="s">
        <v>172</v>
      </c>
      <c r="E12" s="7" t="s">
        <v>173</v>
      </c>
      <c r="F12" s="7" t="s">
        <v>174</v>
      </c>
      <c r="G12" s="7" t="s">
        <v>175</v>
      </c>
      <c r="H12" s="7" t="s">
        <v>176</v>
      </c>
      <c r="I12" s="24" t="s">
        <v>49</v>
      </c>
      <c r="J12" s="6" t="s">
        <v>77</v>
      </c>
      <c r="K12" s="6" t="s">
        <v>115</v>
      </c>
      <c r="L12" s="7" t="s">
        <v>177</v>
      </c>
      <c r="M12" s="21" t="s">
        <v>9</v>
      </c>
      <c r="N12" s="7" t="s">
        <v>117</v>
      </c>
      <c r="O12" s="6" t="s">
        <v>118</v>
      </c>
      <c r="P12" s="7"/>
    </row>
    <row r="13" customFormat="false" ht="61.15" hidden="false" customHeight="false" outlineLevel="0" collapsed="false">
      <c r="A13" s="6" t="s">
        <v>178</v>
      </c>
      <c r="B13" s="7" t="s">
        <v>15</v>
      </c>
      <c r="C13" s="6" t="s">
        <v>179</v>
      </c>
      <c r="D13" s="7" t="s">
        <v>180</v>
      </c>
      <c r="E13" s="7" t="s">
        <v>181</v>
      </c>
      <c r="F13" s="7" t="s">
        <v>182</v>
      </c>
      <c r="G13" s="7" t="s">
        <v>183</v>
      </c>
      <c r="H13" s="7" t="s">
        <v>184</v>
      </c>
      <c r="I13" s="20" t="s">
        <v>46</v>
      </c>
      <c r="J13" s="6" t="s">
        <v>77</v>
      </c>
      <c r="K13" s="6" t="s">
        <v>115</v>
      </c>
      <c r="L13" s="7" t="s">
        <v>185</v>
      </c>
      <c r="M13" s="21" t="s">
        <v>9</v>
      </c>
      <c r="N13" s="7" t="s">
        <v>117</v>
      </c>
      <c r="O13" s="6" t="s">
        <v>118</v>
      </c>
      <c r="P13" s="7" t="s">
        <v>186</v>
      </c>
    </row>
    <row r="14" customFormat="false" ht="61.15" hidden="false" customHeight="false" outlineLevel="0" collapsed="false">
      <c r="A14" s="6" t="s">
        <v>187</v>
      </c>
      <c r="B14" s="7" t="s">
        <v>15</v>
      </c>
      <c r="C14" s="6" t="s">
        <v>179</v>
      </c>
      <c r="D14" s="7" t="s">
        <v>188</v>
      </c>
      <c r="E14" s="7" t="s">
        <v>181</v>
      </c>
      <c r="F14" s="7" t="s">
        <v>189</v>
      </c>
      <c r="G14" s="7" t="s">
        <v>183</v>
      </c>
      <c r="H14" s="7" t="s">
        <v>190</v>
      </c>
      <c r="I14" s="20" t="s">
        <v>46</v>
      </c>
      <c r="J14" s="6" t="s">
        <v>77</v>
      </c>
      <c r="K14" s="6" t="s">
        <v>115</v>
      </c>
      <c r="L14" s="7" t="s">
        <v>191</v>
      </c>
      <c r="M14" s="21" t="s">
        <v>9</v>
      </c>
      <c r="N14" s="7" t="s">
        <v>117</v>
      </c>
      <c r="O14" s="6" t="s">
        <v>118</v>
      </c>
      <c r="P14" s="7" t="s">
        <v>186</v>
      </c>
    </row>
    <row r="15" customFormat="false" ht="61.15" hidden="false" customHeight="false" outlineLevel="0" collapsed="false">
      <c r="A15" s="6" t="s">
        <v>192</v>
      </c>
      <c r="B15" s="7" t="s">
        <v>15</v>
      </c>
      <c r="C15" s="6" t="s">
        <v>179</v>
      </c>
      <c r="D15" s="7" t="s">
        <v>193</v>
      </c>
      <c r="E15" s="7" t="s">
        <v>194</v>
      </c>
      <c r="F15" s="7" t="s">
        <v>195</v>
      </c>
      <c r="G15" s="7" t="s">
        <v>183</v>
      </c>
      <c r="H15" s="7" t="s">
        <v>196</v>
      </c>
      <c r="I15" s="20" t="s">
        <v>46</v>
      </c>
      <c r="J15" s="6" t="s">
        <v>77</v>
      </c>
      <c r="K15" s="6" t="s">
        <v>115</v>
      </c>
      <c r="L15" s="7" t="s">
        <v>197</v>
      </c>
      <c r="M15" s="21" t="s">
        <v>9</v>
      </c>
      <c r="N15" s="7" t="s">
        <v>117</v>
      </c>
      <c r="O15" s="6" t="s">
        <v>118</v>
      </c>
      <c r="P15" s="7" t="s">
        <v>186</v>
      </c>
    </row>
    <row r="16" customFormat="false" ht="61.15" hidden="false" customHeight="false" outlineLevel="0" collapsed="false">
      <c r="A16" s="6" t="s">
        <v>198</v>
      </c>
      <c r="B16" s="7" t="s">
        <v>15</v>
      </c>
      <c r="C16" s="6" t="s">
        <v>179</v>
      </c>
      <c r="D16" s="7" t="s">
        <v>199</v>
      </c>
      <c r="E16" s="7" t="s">
        <v>181</v>
      </c>
      <c r="F16" s="7" t="s">
        <v>200</v>
      </c>
      <c r="G16" s="7" t="s">
        <v>183</v>
      </c>
      <c r="H16" s="7" t="s">
        <v>201</v>
      </c>
      <c r="I16" s="20" t="s">
        <v>46</v>
      </c>
      <c r="J16" s="6" t="s">
        <v>77</v>
      </c>
      <c r="K16" s="6" t="s">
        <v>115</v>
      </c>
      <c r="L16" s="7" t="s">
        <v>202</v>
      </c>
      <c r="M16" s="21" t="s">
        <v>9</v>
      </c>
      <c r="N16" s="7" t="s">
        <v>117</v>
      </c>
      <c r="O16" s="6" t="s">
        <v>118</v>
      </c>
      <c r="P16" s="7" t="s">
        <v>186</v>
      </c>
    </row>
    <row r="17" customFormat="false" ht="49.25" hidden="false" customHeight="false" outlineLevel="0" collapsed="false">
      <c r="A17" s="6" t="s">
        <v>203</v>
      </c>
      <c r="B17" s="7" t="s">
        <v>15</v>
      </c>
      <c r="C17" s="6" t="s">
        <v>179</v>
      </c>
      <c r="D17" s="7" t="s">
        <v>204</v>
      </c>
      <c r="E17" s="7" t="s">
        <v>205</v>
      </c>
      <c r="F17" s="7" t="s">
        <v>206</v>
      </c>
      <c r="G17" s="7" t="s">
        <v>183</v>
      </c>
      <c r="H17" s="7" t="s">
        <v>207</v>
      </c>
      <c r="I17" s="22" t="s">
        <v>47</v>
      </c>
      <c r="J17" s="6" t="s">
        <v>77</v>
      </c>
      <c r="K17" s="6" t="s">
        <v>115</v>
      </c>
      <c r="L17" s="7" t="s">
        <v>208</v>
      </c>
      <c r="M17" s="21" t="s">
        <v>9</v>
      </c>
      <c r="N17" s="7" t="s">
        <v>117</v>
      </c>
      <c r="O17" s="6" t="s">
        <v>118</v>
      </c>
      <c r="P17" s="7" t="s">
        <v>209</v>
      </c>
    </row>
    <row r="18" customFormat="false" ht="49.25" hidden="false" customHeight="false" outlineLevel="0" collapsed="false">
      <c r="A18" s="6" t="s">
        <v>210</v>
      </c>
      <c r="B18" s="7" t="s">
        <v>15</v>
      </c>
      <c r="C18" s="6" t="s">
        <v>179</v>
      </c>
      <c r="D18" s="7" t="s">
        <v>211</v>
      </c>
      <c r="E18" s="7" t="s">
        <v>212</v>
      </c>
      <c r="F18" s="7" t="s">
        <v>213</v>
      </c>
      <c r="G18" s="7" t="s">
        <v>183</v>
      </c>
      <c r="H18" s="7" t="s">
        <v>214</v>
      </c>
      <c r="I18" s="22" t="s">
        <v>47</v>
      </c>
      <c r="J18" s="6" t="s">
        <v>77</v>
      </c>
      <c r="K18" s="6" t="s">
        <v>115</v>
      </c>
      <c r="L18" s="7" t="s">
        <v>215</v>
      </c>
      <c r="M18" s="21" t="s">
        <v>9</v>
      </c>
      <c r="N18" s="7" t="s">
        <v>117</v>
      </c>
      <c r="O18" s="6" t="s">
        <v>118</v>
      </c>
      <c r="P18" s="7" t="s">
        <v>209</v>
      </c>
    </row>
    <row r="19" customFormat="false" ht="25.35" hidden="false" customHeight="false" outlineLevel="0" collapsed="false">
      <c r="A19" s="6" t="s">
        <v>216</v>
      </c>
      <c r="B19" s="7" t="s">
        <v>15</v>
      </c>
      <c r="C19" s="6" t="s">
        <v>179</v>
      </c>
      <c r="D19" s="7" t="s">
        <v>217</v>
      </c>
      <c r="E19" s="7" t="s">
        <v>122</v>
      </c>
      <c r="F19" s="7" t="s">
        <v>218</v>
      </c>
      <c r="G19" s="7" t="s">
        <v>183</v>
      </c>
      <c r="H19" s="7" t="s">
        <v>219</v>
      </c>
      <c r="I19" s="22" t="s">
        <v>47</v>
      </c>
      <c r="J19" s="6" t="s">
        <v>82</v>
      </c>
      <c r="K19" s="6" t="s">
        <v>115</v>
      </c>
      <c r="L19" s="7" t="s">
        <v>220</v>
      </c>
      <c r="M19" s="21" t="s">
        <v>9</v>
      </c>
      <c r="N19" s="7" t="s">
        <v>117</v>
      </c>
      <c r="O19" s="6" t="s">
        <v>118</v>
      </c>
      <c r="P19" s="7"/>
    </row>
    <row r="20" customFormat="false" ht="85.05" hidden="false" customHeight="false" outlineLevel="0" collapsed="false">
      <c r="A20" s="6" t="s">
        <v>221</v>
      </c>
      <c r="B20" s="7" t="s">
        <v>15</v>
      </c>
      <c r="C20" s="6" t="s">
        <v>179</v>
      </c>
      <c r="D20" s="7" t="s">
        <v>222</v>
      </c>
      <c r="E20" s="7" t="s">
        <v>223</v>
      </c>
      <c r="F20" s="7" t="s">
        <v>224</v>
      </c>
      <c r="G20" s="7" t="s">
        <v>225</v>
      </c>
      <c r="H20" s="7" t="s">
        <v>226</v>
      </c>
      <c r="I20" s="24" t="s">
        <v>49</v>
      </c>
      <c r="J20" s="6" t="s">
        <v>77</v>
      </c>
      <c r="K20" s="6" t="s">
        <v>115</v>
      </c>
      <c r="L20" s="7" t="s">
        <v>227</v>
      </c>
      <c r="M20" s="21" t="s">
        <v>9</v>
      </c>
      <c r="N20" s="7" t="s">
        <v>117</v>
      </c>
      <c r="O20" s="6" t="s">
        <v>118</v>
      </c>
      <c r="P20" s="7"/>
    </row>
    <row r="21" customFormat="false" ht="25.35" hidden="false" customHeight="false" outlineLevel="0" collapsed="false">
      <c r="A21" s="6" t="s">
        <v>228</v>
      </c>
      <c r="B21" s="7" t="s">
        <v>15</v>
      </c>
      <c r="C21" s="6" t="s">
        <v>229</v>
      </c>
      <c r="D21" s="7" t="s">
        <v>230</v>
      </c>
      <c r="E21" s="7" t="s">
        <v>231</v>
      </c>
      <c r="F21" s="7" t="s">
        <v>232</v>
      </c>
      <c r="G21" s="7" t="s">
        <v>233</v>
      </c>
      <c r="H21" s="7" t="s">
        <v>234</v>
      </c>
      <c r="I21" s="24" t="s">
        <v>49</v>
      </c>
      <c r="J21" s="6" t="s">
        <v>77</v>
      </c>
      <c r="K21" s="6" t="s">
        <v>115</v>
      </c>
      <c r="L21" s="7" t="s">
        <v>235</v>
      </c>
      <c r="M21" s="21" t="s">
        <v>9</v>
      </c>
      <c r="N21" s="7" t="s">
        <v>117</v>
      </c>
      <c r="O21" s="6" t="s">
        <v>118</v>
      </c>
      <c r="P21" s="7"/>
    </row>
    <row r="22" customFormat="false" ht="49.25" hidden="false" customHeight="false" outlineLevel="0" collapsed="false">
      <c r="A22" s="6" t="s">
        <v>236</v>
      </c>
      <c r="B22" s="7" t="s">
        <v>15</v>
      </c>
      <c r="C22" s="6" t="s">
        <v>229</v>
      </c>
      <c r="D22" s="7" t="s">
        <v>237</v>
      </c>
      <c r="E22" s="7" t="s">
        <v>231</v>
      </c>
      <c r="F22" s="7" t="s">
        <v>238</v>
      </c>
      <c r="G22" s="7" t="s">
        <v>239</v>
      </c>
      <c r="H22" s="7" t="s">
        <v>240</v>
      </c>
      <c r="I22" s="24" t="s">
        <v>49</v>
      </c>
      <c r="J22" s="6" t="s">
        <v>77</v>
      </c>
      <c r="K22" s="6" t="s">
        <v>115</v>
      </c>
      <c r="L22" s="7" t="s">
        <v>241</v>
      </c>
      <c r="M22" s="21" t="s">
        <v>9</v>
      </c>
      <c r="N22" s="7" t="s">
        <v>117</v>
      </c>
      <c r="O22" s="6" t="s">
        <v>118</v>
      </c>
      <c r="P22" s="7"/>
    </row>
    <row r="23" customFormat="false" ht="61.15" hidden="false" customHeight="false" outlineLevel="0" collapsed="false">
      <c r="A23" s="6" t="s">
        <v>242</v>
      </c>
      <c r="B23" s="7" t="s">
        <v>15</v>
      </c>
      <c r="C23" s="6" t="s">
        <v>229</v>
      </c>
      <c r="D23" s="7" t="s">
        <v>243</v>
      </c>
      <c r="E23" s="7" t="s">
        <v>244</v>
      </c>
      <c r="F23" s="7" t="s">
        <v>245</v>
      </c>
      <c r="G23" s="7" t="s">
        <v>246</v>
      </c>
      <c r="H23" s="7" t="s">
        <v>247</v>
      </c>
      <c r="I23" s="20" t="s">
        <v>46</v>
      </c>
      <c r="J23" s="6" t="s">
        <v>77</v>
      </c>
      <c r="K23" s="6" t="s">
        <v>115</v>
      </c>
      <c r="L23" s="7" t="s">
        <v>248</v>
      </c>
      <c r="M23" s="6" t="s">
        <v>12</v>
      </c>
      <c r="N23" s="7"/>
      <c r="O23" s="6"/>
      <c r="P23" s="7" t="s">
        <v>150</v>
      </c>
    </row>
    <row r="24" customFormat="false" ht="61.15" hidden="false" customHeight="false" outlineLevel="0" collapsed="false">
      <c r="A24" s="6" t="s">
        <v>249</v>
      </c>
      <c r="B24" s="7" t="s">
        <v>15</v>
      </c>
      <c r="C24" s="6" t="s">
        <v>250</v>
      </c>
      <c r="D24" s="7" t="s">
        <v>251</v>
      </c>
      <c r="E24" s="7" t="s">
        <v>252</v>
      </c>
      <c r="F24" s="7" t="s">
        <v>253</v>
      </c>
      <c r="G24" s="7" t="s">
        <v>254</v>
      </c>
      <c r="H24" s="7" t="s">
        <v>255</v>
      </c>
      <c r="I24" s="20" t="s">
        <v>46</v>
      </c>
      <c r="J24" s="6" t="s">
        <v>77</v>
      </c>
      <c r="K24" s="6" t="s">
        <v>115</v>
      </c>
      <c r="L24" s="7" t="s">
        <v>256</v>
      </c>
      <c r="M24" s="21" t="s">
        <v>9</v>
      </c>
      <c r="N24" s="7" t="s">
        <v>117</v>
      </c>
      <c r="O24" s="6" t="s">
        <v>118</v>
      </c>
      <c r="P24" s="7" t="s">
        <v>186</v>
      </c>
    </row>
    <row r="25" customFormat="false" ht="73.1" hidden="false" customHeight="false" outlineLevel="0" collapsed="false">
      <c r="A25" s="6" t="s">
        <v>257</v>
      </c>
      <c r="B25" s="7" t="s">
        <v>15</v>
      </c>
      <c r="C25" s="6" t="s">
        <v>250</v>
      </c>
      <c r="D25" s="7" t="s">
        <v>258</v>
      </c>
      <c r="E25" s="7" t="s">
        <v>259</v>
      </c>
      <c r="F25" s="7" t="s">
        <v>260</v>
      </c>
      <c r="G25" s="7" t="s">
        <v>261</v>
      </c>
      <c r="H25" s="7" t="s">
        <v>262</v>
      </c>
      <c r="I25" s="24" t="s">
        <v>49</v>
      </c>
      <c r="J25" s="6" t="s">
        <v>77</v>
      </c>
      <c r="K25" s="6" t="s">
        <v>115</v>
      </c>
      <c r="L25" s="7" t="s">
        <v>263</v>
      </c>
      <c r="M25" s="21" t="s">
        <v>9</v>
      </c>
      <c r="N25" s="7" t="s">
        <v>117</v>
      </c>
      <c r="O25" s="6" t="s">
        <v>118</v>
      </c>
      <c r="P25" s="7" t="s">
        <v>264</v>
      </c>
    </row>
    <row r="26" customFormat="false" ht="61.15" hidden="false" customHeight="false" outlineLevel="0" collapsed="false">
      <c r="A26" s="6" t="s">
        <v>265</v>
      </c>
      <c r="B26" s="7" t="s">
        <v>15</v>
      </c>
      <c r="C26" s="6" t="s">
        <v>250</v>
      </c>
      <c r="D26" s="7" t="s">
        <v>266</v>
      </c>
      <c r="E26" s="7" t="s">
        <v>267</v>
      </c>
      <c r="F26" s="7" t="s">
        <v>268</v>
      </c>
      <c r="G26" s="7" t="s">
        <v>269</v>
      </c>
      <c r="H26" s="7" t="s">
        <v>270</v>
      </c>
      <c r="I26" s="20" t="s">
        <v>46</v>
      </c>
      <c r="J26" s="6" t="s">
        <v>82</v>
      </c>
      <c r="K26" s="6" t="s">
        <v>115</v>
      </c>
      <c r="L26" s="7" t="s">
        <v>271</v>
      </c>
      <c r="M26" s="6" t="s">
        <v>12</v>
      </c>
      <c r="N26" s="7"/>
      <c r="O26" s="6"/>
      <c r="P26" s="7" t="s">
        <v>170</v>
      </c>
    </row>
  </sheetData>
  <autoFilter ref="A1:P26"/>
  <dataValidations count="1">
    <dataValidation allowBlank="true" errorStyle="stop" operator="between" showDropDown="false" showErrorMessage="false" showInputMessage="false" sqref="M2:M26" type="list">
      <formula1>"Pass,Fail,Blocked,Chưa thực hiện"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28"/>
    <col collapsed="false" customWidth="true" hidden="false" outlineLevel="0" max="6" min="6" style="0" width="30"/>
    <col collapsed="false" customWidth="true" hidden="false" outlineLevel="0" max="7" min="7" style="0" width="38"/>
    <col collapsed="false" customWidth="true" hidden="false" outlineLevel="0" max="8" min="8" style="0" width="46"/>
    <col collapsed="false" customWidth="true" hidden="false" outlineLevel="0" max="9" min="9" style="0" width="11"/>
    <col collapsed="false" customWidth="true" hidden="false" outlineLevel="0" max="11" min="10" style="0" width="12"/>
    <col collapsed="false" customWidth="true" hidden="false" outlineLevel="0" max="12" min="12" style="0" width="26"/>
    <col collapsed="false" customWidth="true" hidden="false" outlineLevel="0" max="14" min="13" style="0" width="14"/>
    <col collapsed="false" customWidth="true" hidden="false" outlineLevel="0" max="15" min="15" style="0" width="13"/>
    <col collapsed="false" customWidth="true" hidden="false" outlineLevel="0" max="16" min="16" style="0" width="20"/>
  </cols>
  <sheetData>
    <row r="1" customFormat="false" ht="31.5" hidden="false" customHeight="true" outlineLevel="0" collapsed="false">
      <c r="A1" s="5" t="s">
        <v>60</v>
      </c>
      <c r="B1" s="5" t="s">
        <v>6</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customFormat="false" ht="37.3" hidden="false" customHeight="false" outlineLevel="0" collapsed="false">
      <c r="A2" s="6" t="s">
        <v>272</v>
      </c>
      <c r="B2" s="7" t="s">
        <v>17</v>
      </c>
      <c r="C2" s="6" t="s">
        <v>273</v>
      </c>
      <c r="D2" s="7" t="s">
        <v>274</v>
      </c>
      <c r="E2" s="7" t="s">
        <v>275</v>
      </c>
      <c r="F2" s="7" t="s">
        <v>276</v>
      </c>
      <c r="G2" s="7" t="s">
        <v>277</v>
      </c>
      <c r="H2" s="7" t="s">
        <v>278</v>
      </c>
      <c r="I2" s="20" t="s">
        <v>46</v>
      </c>
      <c r="J2" s="6" t="s">
        <v>77</v>
      </c>
      <c r="K2" s="6" t="s">
        <v>115</v>
      </c>
      <c r="L2" s="7" t="s">
        <v>279</v>
      </c>
      <c r="M2" s="21" t="s">
        <v>9</v>
      </c>
      <c r="N2" s="7" t="s">
        <v>117</v>
      </c>
      <c r="O2" s="6" t="s">
        <v>118</v>
      </c>
      <c r="P2" s="7"/>
    </row>
    <row r="3" customFormat="false" ht="61.15" hidden="false" customHeight="false" outlineLevel="0" collapsed="false">
      <c r="A3" s="6" t="s">
        <v>280</v>
      </c>
      <c r="B3" s="7" t="s">
        <v>17</v>
      </c>
      <c r="C3" s="6" t="s">
        <v>273</v>
      </c>
      <c r="D3" s="7" t="s">
        <v>281</v>
      </c>
      <c r="E3" s="7" t="s">
        <v>282</v>
      </c>
      <c r="F3" s="7" t="s">
        <v>283</v>
      </c>
      <c r="G3" s="7" t="s">
        <v>284</v>
      </c>
      <c r="H3" s="7" t="s">
        <v>285</v>
      </c>
      <c r="I3" s="20" t="s">
        <v>46</v>
      </c>
      <c r="J3" s="6" t="s">
        <v>77</v>
      </c>
      <c r="K3" s="6" t="s">
        <v>115</v>
      </c>
      <c r="L3" s="7" t="s">
        <v>286</v>
      </c>
      <c r="M3" s="21" t="s">
        <v>9</v>
      </c>
      <c r="N3" s="7" t="s">
        <v>117</v>
      </c>
      <c r="O3" s="6" t="s">
        <v>118</v>
      </c>
      <c r="P3" s="7" t="s">
        <v>186</v>
      </c>
    </row>
    <row r="4" customFormat="false" ht="61.15" hidden="false" customHeight="false" outlineLevel="0" collapsed="false">
      <c r="A4" s="6" t="s">
        <v>287</v>
      </c>
      <c r="B4" s="7" t="s">
        <v>17</v>
      </c>
      <c r="C4" s="6" t="s">
        <v>273</v>
      </c>
      <c r="D4" s="7" t="s">
        <v>288</v>
      </c>
      <c r="E4" s="7" t="s">
        <v>289</v>
      </c>
      <c r="F4" s="7" t="s">
        <v>290</v>
      </c>
      <c r="G4" s="7" t="s">
        <v>291</v>
      </c>
      <c r="H4" s="7" t="s">
        <v>292</v>
      </c>
      <c r="I4" s="20" t="s">
        <v>46</v>
      </c>
      <c r="J4" s="6" t="s">
        <v>82</v>
      </c>
      <c r="K4" s="6" t="s">
        <v>115</v>
      </c>
      <c r="L4" s="7" t="s">
        <v>293</v>
      </c>
      <c r="M4" s="6" t="s">
        <v>12</v>
      </c>
      <c r="N4" s="7"/>
      <c r="O4" s="6"/>
      <c r="P4" s="7" t="s">
        <v>150</v>
      </c>
    </row>
    <row r="5" customFormat="false" ht="61.15" hidden="false" customHeight="false" outlineLevel="0" collapsed="false">
      <c r="A5" s="6" t="s">
        <v>294</v>
      </c>
      <c r="B5" s="7" t="s">
        <v>17</v>
      </c>
      <c r="C5" s="6" t="s">
        <v>273</v>
      </c>
      <c r="D5" s="7" t="s">
        <v>295</v>
      </c>
      <c r="E5" s="7" t="s">
        <v>296</v>
      </c>
      <c r="F5" s="7" t="s">
        <v>297</v>
      </c>
      <c r="G5" s="7" t="s">
        <v>298</v>
      </c>
      <c r="H5" s="7" t="s">
        <v>299</v>
      </c>
      <c r="I5" s="22" t="s">
        <v>47</v>
      </c>
      <c r="J5" s="6" t="s">
        <v>82</v>
      </c>
      <c r="K5" s="6" t="s">
        <v>115</v>
      </c>
      <c r="L5" s="7" t="s">
        <v>300</v>
      </c>
      <c r="M5" s="6" t="s">
        <v>12</v>
      </c>
      <c r="N5" s="7"/>
      <c r="O5" s="6"/>
      <c r="P5" s="7" t="s">
        <v>150</v>
      </c>
    </row>
    <row r="6" customFormat="false" ht="49.25" hidden="false" customHeight="false" outlineLevel="0" collapsed="false">
      <c r="A6" s="6" t="s">
        <v>301</v>
      </c>
      <c r="B6" s="7" t="s">
        <v>17</v>
      </c>
      <c r="C6" s="6" t="s">
        <v>273</v>
      </c>
      <c r="D6" s="7" t="s">
        <v>302</v>
      </c>
      <c r="E6" s="7" t="s">
        <v>303</v>
      </c>
      <c r="F6" s="7" t="s">
        <v>304</v>
      </c>
      <c r="G6" s="7" t="s">
        <v>305</v>
      </c>
      <c r="H6" s="7" t="s">
        <v>306</v>
      </c>
      <c r="I6" s="20" t="s">
        <v>46</v>
      </c>
      <c r="J6" s="6" t="s">
        <v>77</v>
      </c>
      <c r="K6" s="6" t="s">
        <v>115</v>
      </c>
      <c r="L6" s="7" t="s">
        <v>307</v>
      </c>
      <c r="M6" s="21" t="s">
        <v>9</v>
      </c>
      <c r="N6" s="7" t="s">
        <v>117</v>
      </c>
      <c r="O6" s="6" t="s">
        <v>118</v>
      </c>
      <c r="P6" s="7" t="s">
        <v>308</v>
      </c>
    </row>
    <row r="7" customFormat="false" ht="25.35" hidden="false" customHeight="false" outlineLevel="0" collapsed="false">
      <c r="A7" s="6" t="s">
        <v>309</v>
      </c>
      <c r="B7" s="7" t="s">
        <v>17</v>
      </c>
      <c r="C7" s="6" t="s">
        <v>273</v>
      </c>
      <c r="D7" s="7" t="s">
        <v>310</v>
      </c>
      <c r="E7" s="7" t="s">
        <v>231</v>
      </c>
      <c r="F7" s="7" t="s">
        <v>311</v>
      </c>
      <c r="G7" s="7" t="s">
        <v>312</v>
      </c>
      <c r="H7" s="7" t="s">
        <v>313</v>
      </c>
      <c r="I7" s="22" t="s">
        <v>47</v>
      </c>
      <c r="J7" s="6" t="s">
        <v>82</v>
      </c>
      <c r="K7" s="6" t="s">
        <v>115</v>
      </c>
      <c r="L7" s="7" t="s">
        <v>314</v>
      </c>
      <c r="M7" s="21" t="s">
        <v>9</v>
      </c>
      <c r="N7" s="7" t="s">
        <v>117</v>
      </c>
      <c r="O7" s="6" t="s">
        <v>118</v>
      </c>
      <c r="P7" s="7"/>
    </row>
    <row r="8" customFormat="false" ht="37.3" hidden="false" customHeight="false" outlineLevel="0" collapsed="false">
      <c r="A8" s="6" t="s">
        <v>315</v>
      </c>
      <c r="B8" s="7" t="s">
        <v>17</v>
      </c>
      <c r="C8" s="6" t="s">
        <v>273</v>
      </c>
      <c r="D8" s="7" t="s">
        <v>316</v>
      </c>
      <c r="E8" s="7" t="s">
        <v>317</v>
      </c>
      <c r="F8" s="7" t="s">
        <v>318</v>
      </c>
      <c r="G8" s="7" t="s">
        <v>319</v>
      </c>
      <c r="H8" s="7" t="s">
        <v>320</v>
      </c>
      <c r="I8" s="20" t="s">
        <v>46</v>
      </c>
      <c r="J8" s="6" t="s">
        <v>77</v>
      </c>
      <c r="K8" s="6" t="s">
        <v>115</v>
      </c>
      <c r="L8" s="7" t="s">
        <v>321</v>
      </c>
      <c r="M8" s="21" t="s">
        <v>9</v>
      </c>
      <c r="N8" s="7" t="s">
        <v>117</v>
      </c>
      <c r="O8" s="6" t="s">
        <v>118</v>
      </c>
      <c r="P8" s="7"/>
    </row>
    <row r="9" customFormat="false" ht="61.15" hidden="false" customHeight="false" outlineLevel="0" collapsed="false">
      <c r="A9" s="6" t="s">
        <v>74</v>
      </c>
      <c r="B9" s="7" t="s">
        <v>17</v>
      </c>
      <c r="C9" s="6" t="s">
        <v>322</v>
      </c>
      <c r="D9" s="7" t="s">
        <v>323</v>
      </c>
      <c r="E9" s="7" t="s">
        <v>324</v>
      </c>
      <c r="F9" s="7" t="s">
        <v>325</v>
      </c>
      <c r="G9" s="7" t="s">
        <v>326</v>
      </c>
      <c r="H9" s="7" t="s">
        <v>327</v>
      </c>
      <c r="I9" s="20" t="s">
        <v>46</v>
      </c>
      <c r="J9" s="6" t="s">
        <v>77</v>
      </c>
      <c r="K9" s="6" t="s">
        <v>115</v>
      </c>
      <c r="L9" s="7" t="s">
        <v>328</v>
      </c>
      <c r="M9" s="23" t="s">
        <v>10</v>
      </c>
      <c r="N9" s="7" t="s">
        <v>117</v>
      </c>
      <c r="O9" s="6" t="s">
        <v>118</v>
      </c>
      <c r="P9" s="7" t="s">
        <v>329</v>
      </c>
    </row>
    <row r="10" customFormat="false" ht="25.35" hidden="false" customHeight="false" outlineLevel="0" collapsed="false">
      <c r="A10" s="6" t="s">
        <v>330</v>
      </c>
      <c r="B10" s="7" t="s">
        <v>17</v>
      </c>
      <c r="C10" s="6" t="s">
        <v>322</v>
      </c>
      <c r="D10" s="7" t="s">
        <v>331</v>
      </c>
      <c r="E10" s="7" t="s">
        <v>332</v>
      </c>
      <c r="F10" s="7" t="s">
        <v>333</v>
      </c>
      <c r="G10" s="7" t="s">
        <v>334</v>
      </c>
      <c r="H10" s="7" t="s">
        <v>335</v>
      </c>
      <c r="I10" s="22" t="s">
        <v>47</v>
      </c>
      <c r="J10" s="6" t="s">
        <v>77</v>
      </c>
      <c r="K10" s="6" t="s">
        <v>115</v>
      </c>
      <c r="L10" s="7" t="s">
        <v>336</v>
      </c>
      <c r="M10" s="21" t="s">
        <v>9</v>
      </c>
      <c r="N10" s="7" t="s">
        <v>117</v>
      </c>
      <c r="O10" s="6" t="s">
        <v>118</v>
      </c>
      <c r="P10" s="7"/>
    </row>
    <row r="11" customFormat="false" ht="61.15" hidden="false" customHeight="false" outlineLevel="0" collapsed="false">
      <c r="A11" s="6" t="s">
        <v>337</v>
      </c>
      <c r="B11" s="7" t="s">
        <v>17</v>
      </c>
      <c r="C11" s="6" t="s">
        <v>322</v>
      </c>
      <c r="D11" s="7" t="s">
        <v>338</v>
      </c>
      <c r="E11" s="7" t="s">
        <v>332</v>
      </c>
      <c r="F11" s="7" t="s">
        <v>339</v>
      </c>
      <c r="G11" s="7" t="s">
        <v>340</v>
      </c>
      <c r="H11" s="7" t="s">
        <v>341</v>
      </c>
      <c r="I11" s="24" t="s">
        <v>49</v>
      </c>
      <c r="J11" s="6" t="s">
        <v>77</v>
      </c>
      <c r="K11" s="6" t="s">
        <v>115</v>
      </c>
      <c r="L11" s="7" t="s">
        <v>342</v>
      </c>
      <c r="M11" s="21" t="s">
        <v>9</v>
      </c>
      <c r="N11" s="7" t="s">
        <v>117</v>
      </c>
      <c r="O11" s="6" t="s">
        <v>118</v>
      </c>
      <c r="P11" s="7" t="s">
        <v>264</v>
      </c>
    </row>
    <row r="12" customFormat="false" ht="49.25" hidden="false" customHeight="false" outlineLevel="0" collapsed="false">
      <c r="A12" s="6" t="s">
        <v>343</v>
      </c>
      <c r="B12" s="7" t="s">
        <v>17</v>
      </c>
      <c r="C12" s="6" t="s">
        <v>322</v>
      </c>
      <c r="D12" s="7" t="s">
        <v>344</v>
      </c>
      <c r="E12" s="7" t="s">
        <v>332</v>
      </c>
      <c r="F12" s="7" t="s">
        <v>345</v>
      </c>
      <c r="G12" s="7" t="s">
        <v>346</v>
      </c>
      <c r="H12" s="7" t="s">
        <v>347</v>
      </c>
      <c r="I12" s="25" t="s">
        <v>48</v>
      </c>
      <c r="J12" s="6" t="s">
        <v>77</v>
      </c>
      <c r="K12" s="6" t="s">
        <v>115</v>
      </c>
      <c r="L12" s="7" t="s">
        <v>348</v>
      </c>
      <c r="M12" s="21" t="s">
        <v>9</v>
      </c>
      <c r="N12" s="7" t="s">
        <v>117</v>
      </c>
      <c r="O12" s="6" t="s">
        <v>118</v>
      </c>
      <c r="P12" s="7" t="s">
        <v>264</v>
      </c>
    </row>
    <row r="13" customFormat="false" ht="25.35" hidden="false" customHeight="false" outlineLevel="0" collapsed="false">
      <c r="A13" s="6" t="s">
        <v>349</v>
      </c>
      <c r="B13" s="7" t="s">
        <v>17</v>
      </c>
      <c r="C13" s="6" t="s">
        <v>322</v>
      </c>
      <c r="D13" s="7" t="s">
        <v>350</v>
      </c>
      <c r="E13" s="7" t="s">
        <v>332</v>
      </c>
      <c r="F13" s="7" t="s">
        <v>351</v>
      </c>
      <c r="G13" s="7" t="s">
        <v>352</v>
      </c>
      <c r="H13" s="7" t="s">
        <v>353</v>
      </c>
      <c r="I13" s="20" t="s">
        <v>46</v>
      </c>
      <c r="J13" s="6" t="s">
        <v>77</v>
      </c>
      <c r="K13" s="6" t="s">
        <v>115</v>
      </c>
      <c r="L13" s="7" t="s">
        <v>354</v>
      </c>
      <c r="M13" s="21" t="s">
        <v>9</v>
      </c>
      <c r="N13" s="7" t="s">
        <v>117</v>
      </c>
      <c r="O13" s="6" t="s">
        <v>118</v>
      </c>
      <c r="P13" s="7"/>
    </row>
    <row r="14" customFormat="false" ht="61.15" hidden="false" customHeight="false" outlineLevel="0" collapsed="false">
      <c r="A14" s="6" t="s">
        <v>355</v>
      </c>
      <c r="B14" s="7" t="s">
        <v>17</v>
      </c>
      <c r="C14" s="6" t="s">
        <v>322</v>
      </c>
      <c r="D14" s="7" t="s">
        <v>356</v>
      </c>
      <c r="E14" s="7" t="s">
        <v>357</v>
      </c>
      <c r="F14" s="7" t="s">
        <v>358</v>
      </c>
      <c r="G14" s="7" t="s">
        <v>359</v>
      </c>
      <c r="H14" s="7" t="s">
        <v>360</v>
      </c>
      <c r="I14" s="20" t="s">
        <v>46</v>
      </c>
      <c r="J14" s="6" t="s">
        <v>77</v>
      </c>
      <c r="K14" s="6" t="s">
        <v>115</v>
      </c>
      <c r="L14" s="7" t="s">
        <v>361</v>
      </c>
      <c r="M14" s="21" t="s">
        <v>9</v>
      </c>
      <c r="N14" s="7" t="s">
        <v>117</v>
      </c>
      <c r="O14" s="6" t="s">
        <v>118</v>
      </c>
      <c r="P14" s="7"/>
    </row>
    <row r="15" customFormat="false" ht="25.35" hidden="false" customHeight="false" outlineLevel="0" collapsed="false">
      <c r="A15" s="6" t="s">
        <v>362</v>
      </c>
      <c r="B15" s="7" t="s">
        <v>17</v>
      </c>
      <c r="C15" s="6" t="s">
        <v>322</v>
      </c>
      <c r="D15" s="7" t="s">
        <v>363</v>
      </c>
      <c r="E15" s="7" t="s">
        <v>332</v>
      </c>
      <c r="F15" s="7" t="s">
        <v>364</v>
      </c>
      <c r="G15" s="7" t="s">
        <v>365</v>
      </c>
      <c r="H15" s="7" t="s">
        <v>366</v>
      </c>
      <c r="I15" s="20" t="s">
        <v>46</v>
      </c>
      <c r="J15" s="6" t="s">
        <v>77</v>
      </c>
      <c r="K15" s="6" t="s">
        <v>115</v>
      </c>
      <c r="L15" s="7" t="s">
        <v>367</v>
      </c>
      <c r="M15" s="21" t="s">
        <v>9</v>
      </c>
      <c r="N15" s="7" t="s">
        <v>117</v>
      </c>
      <c r="O15" s="6" t="s">
        <v>118</v>
      </c>
      <c r="P15" s="7"/>
    </row>
    <row r="16" customFormat="false" ht="25.35" hidden="false" customHeight="false" outlineLevel="0" collapsed="false">
      <c r="A16" s="6" t="s">
        <v>368</v>
      </c>
      <c r="B16" s="7" t="s">
        <v>17</v>
      </c>
      <c r="C16" s="6" t="s">
        <v>322</v>
      </c>
      <c r="D16" s="7" t="s">
        <v>369</v>
      </c>
      <c r="E16" s="7" t="s">
        <v>370</v>
      </c>
      <c r="F16" s="7" t="s">
        <v>371</v>
      </c>
      <c r="G16" s="7" t="s">
        <v>372</v>
      </c>
      <c r="H16" s="7" t="s">
        <v>373</v>
      </c>
      <c r="I16" s="22" t="s">
        <v>47</v>
      </c>
      <c r="J16" s="6" t="s">
        <v>82</v>
      </c>
      <c r="K16" s="6" t="s">
        <v>115</v>
      </c>
      <c r="L16" s="7" t="s">
        <v>374</v>
      </c>
      <c r="M16" s="21" t="s">
        <v>9</v>
      </c>
      <c r="N16" s="7" t="s">
        <v>117</v>
      </c>
      <c r="O16" s="6" t="s">
        <v>118</v>
      </c>
      <c r="P16" s="7"/>
    </row>
    <row r="17" customFormat="false" ht="49.25" hidden="false" customHeight="false" outlineLevel="0" collapsed="false">
      <c r="A17" s="6" t="s">
        <v>375</v>
      </c>
      <c r="B17" s="7" t="s">
        <v>17</v>
      </c>
      <c r="C17" s="6" t="s">
        <v>322</v>
      </c>
      <c r="D17" s="7" t="s">
        <v>376</v>
      </c>
      <c r="E17" s="7" t="s">
        <v>377</v>
      </c>
      <c r="F17" s="7" t="s">
        <v>378</v>
      </c>
      <c r="G17" s="7" t="s">
        <v>379</v>
      </c>
      <c r="H17" s="7" t="s">
        <v>380</v>
      </c>
      <c r="I17" s="20" t="s">
        <v>46</v>
      </c>
      <c r="J17" s="6" t="s">
        <v>82</v>
      </c>
      <c r="K17" s="6" t="s">
        <v>115</v>
      </c>
      <c r="L17" s="7" t="s">
        <v>381</v>
      </c>
      <c r="M17" s="21" t="s">
        <v>9</v>
      </c>
      <c r="N17" s="7" t="s">
        <v>117</v>
      </c>
      <c r="O17" s="6" t="s">
        <v>118</v>
      </c>
      <c r="P17" s="7" t="s">
        <v>308</v>
      </c>
    </row>
    <row r="18" customFormat="false" ht="49.25" hidden="false" customHeight="false" outlineLevel="0" collapsed="false">
      <c r="A18" s="6" t="s">
        <v>382</v>
      </c>
      <c r="B18" s="7" t="s">
        <v>17</v>
      </c>
      <c r="C18" s="6" t="s">
        <v>383</v>
      </c>
      <c r="D18" s="7" t="s">
        <v>384</v>
      </c>
      <c r="E18" s="7" t="s">
        <v>385</v>
      </c>
      <c r="F18" s="7" t="s">
        <v>194</v>
      </c>
      <c r="G18" s="7" t="s">
        <v>386</v>
      </c>
      <c r="H18" s="7" t="s">
        <v>387</v>
      </c>
      <c r="I18" s="20" t="s">
        <v>46</v>
      </c>
      <c r="J18" s="6" t="s">
        <v>77</v>
      </c>
      <c r="K18" s="6" t="s">
        <v>115</v>
      </c>
      <c r="L18" s="7" t="s">
        <v>388</v>
      </c>
      <c r="M18" s="21" t="s">
        <v>9</v>
      </c>
      <c r="N18" s="7" t="s">
        <v>117</v>
      </c>
      <c r="O18" s="6" t="s">
        <v>118</v>
      </c>
      <c r="P18" s="7"/>
    </row>
    <row r="19" customFormat="false" ht="85.05" hidden="false" customHeight="false" outlineLevel="0" collapsed="false">
      <c r="A19" s="6" t="s">
        <v>389</v>
      </c>
      <c r="B19" s="7" t="s">
        <v>17</v>
      </c>
      <c r="C19" s="6" t="s">
        <v>383</v>
      </c>
      <c r="D19" s="7" t="s">
        <v>390</v>
      </c>
      <c r="E19" s="7" t="s">
        <v>391</v>
      </c>
      <c r="F19" s="7" t="s">
        <v>392</v>
      </c>
      <c r="G19" s="7" t="s">
        <v>393</v>
      </c>
      <c r="H19" s="7" t="s">
        <v>394</v>
      </c>
      <c r="I19" s="20" t="s">
        <v>46</v>
      </c>
      <c r="J19" s="6" t="s">
        <v>77</v>
      </c>
      <c r="K19" s="6" t="s">
        <v>115</v>
      </c>
      <c r="L19" s="7" t="s">
        <v>395</v>
      </c>
      <c r="M19" s="21" t="s">
        <v>9</v>
      </c>
      <c r="N19" s="7" t="s">
        <v>117</v>
      </c>
      <c r="O19" s="6" t="s">
        <v>118</v>
      </c>
      <c r="P19" s="7"/>
    </row>
    <row r="20" customFormat="false" ht="25.35" hidden="false" customHeight="false" outlineLevel="0" collapsed="false">
      <c r="A20" s="6" t="s">
        <v>396</v>
      </c>
      <c r="B20" s="7" t="s">
        <v>17</v>
      </c>
      <c r="C20" s="6" t="s">
        <v>383</v>
      </c>
      <c r="D20" s="7" t="s">
        <v>397</v>
      </c>
      <c r="E20" s="7" t="s">
        <v>398</v>
      </c>
      <c r="F20" s="7" t="s">
        <v>399</v>
      </c>
      <c r="G20" s="7" t="s">
        <v>400</v>
      </c>
      <c r="H20" s="7" t="s">
        <v>401</v>
      </c>
      <c r="I20" s="24" t="s">
        <v>49</v>
      </c>
      <c r="J20" s="6" t="s">
        <v>77</v>
      </c>
      <c r="K20" s="6" t="s">
        <v>115</v>
      </c>
      <c r="L20" s="7" t="s">
        <v>402</v>
      </c>
      <c r="M20" s="21" t="s">
        <v>9</v>
      </c>
      <c r="N20" s="7" t="s">
        <v>117</v>
      </c>
      <c r="O20" s="6" t="s">
        <v>118</v>
      </c>
      <c r="P20" s="7"/>
    </row>
    <row r="21" customFormat="false" ht="73.1" hidden="false" customHeight="false" outlineLevel="0" collapsed="false">
      <c r="A21" s="6" t="s">
        <v>403</v>
      </c>
      <c r="B21" s="7" t="s">
        <v>17</v>
      </c>
      <c r="C21" s="6" t="s">
        <v>383</v>
      </c>
      <c r="D21" s="7" t="s">
        <v>404</v>
      </c>
      <c r="E21" s="7" t="s">
        <v>405</v>
      </c>
      <c r="F21" s="7" t="s">
        <v>406</v>
      </c>
      <c r="G21" s="7" t="s">
        <v>407</v>
      </c>
      <c r="H21" s="7" t="s">
        <v>408</v>
      </c>
      <c r="I21" s="20" t="s">
        <v>46</v>
      </c>
      <c r="J21" s="6" t="s">
        <v>82</v>
      </c>
      <c r="K21" s="6" t="s">
        <v>115</v>
      </c>
      <c r="L21" s="7" t="s">
        <v>409</v>
      </c>
      <c r="M21" s="6" t="s">
        <v>12</v>
      </c>
      <c r="N21" s="7"/>
      <c r="O21" s="6"/>
      <c r="P21" s="7" t="s">
        <v>410</v>
      </c>
    </row>
    <row r="22" customFormat="false" ht="49.25" hidden="false" customHeight="false" outlineLevel="0" collapsed="false">
      <c r="A22" s="6" t="s">
        <v>411</v>
      </c>
      <c r="B22" s="7" t="s">
        <v>17</v>
      </c>
      <c r="C22" s="6" t="s">
        <v>412</v>
      </c>
      <c r="D22" s="7" t="s">
        <v>413</v>
      </c>
      <c r="E22" s="7" t="s">
        <v>414</v>
      </c>
      <c r="F22" s="7" t="s">
        <v>415</v>
      </c>
      <c r="G22" s="7" t="s">
        <v>416</v>
      </c>
      <c r="H22" s="7" t="s">
        <v>417</v>
      </c>
      <c r="I22" s="20" t="s">
        <v>46</v>
      </c>
      <c r="J22" s="6" t="s">
        <v>77</v>
      </c>
      <c r="K22" s="6" t="s">
        <v>115</v>
      </c>
      <c r="L22" s="7" t="s">
        <v>418</v>
      </c>
      <c r="M22" s="21" t="s">
        <v>9</v>
      </c>
      <c r="N22" s="7" t="s">
        <v>117</v>
      </c>
      <c r="O22" s="6" t="s">
        <v>118</v>
      </c>
      <c r="P22" s="7" t="s">
        <v>308</v>
      </c>
    </row>
    <row r="23" customFormat="false" ht="73.1" hidden="false" customHeight="false" outlineLevel="0" collapsed="false">
      <c r="A23" s="6" t="s">
        <v>419</v>
      </c>
      <c r="B23" s="7" t="s">
        <v>17</v>
      </c>
      <c r="C23" s="6" t="s">
        <v>412</v>
      </c>
      <c r="D23" s="7" t="s">
        <v>420</v>
      </c>
      <c r="E23" s="7" t="s">
        <v>332</v>
      </c>
      <c r="F23" s="7" t="s">
        <v>421</v>
      </c>
      <c r="G23" s="7" t="s">
        <v>422</v>
      </c>
      <c r="H23" s="7" t="s">
        <v>423</v>
      </c>
      <c r="I23" s="20" t="s">
        <v>46</v>
      </c>
      <c r="J23" s="6" t="s">
        <v>77</v>
      </c>
      <c r="K23" s="6" t="s">
        <v>115</v>
      </c>
      <c r="L23" s="7" t="s">
        <v>424</v>
      </c>
      <c r="M23" s="21" t="s">
        <v>9</v>
      </c>
      <c r="N23" s="7" t="s">
        <v>117</v>
      </c>
      <c r="O23" s="6" t="s">
        <v>118</v>
      </c>
      <c r="P23" s="7" t="s">
        <v>308</v>
      </c>
    </row>
  </sheetData>
  <autoFilter ref="A1:P23"/>
  <dataValidations count="1">
    <dataValidation allowBlank="true" errorStyle="stop" operator="between" showDropDown="false" showErrorMessage="false" showInputMessage="false" sqref="M2:M23" type="list">
      <formula1>"Pass,Fail,Blocked,Chưa thực hiện"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28"/>
    <col collapsed="false" customWidth="true" hidden="false" outlineLevel="0" max="6" min="6" style="0" width="30"/>
    <col collapsed="false" customWidth="true" hidden="false" outlineLevel="0" max="7" min="7" style="0" width="38"/>
    <col collapsed="false" customWidth="true" hidden="false" outlineLevel="0" max="8" min="8" style="0" width="46"/>
    <col collapsed="false" customWidth="true" hidden="false" outlineLevel="0" max="9" min="9" style="0" width="11"/>
    <col collapsed="false" customWidth="true" hidden="false" outlineLevel="0" max="11" min="10" style="0" width="12"/>
    <col collapsed="false" customWidth="true" hidden="false" outlineLevel="0" max="12" min="12" style="0" width="26"/>
    <col collapsed="false" customWidth="true" hidden="false" outlineLevel="0" max="14" min="13" style="0" width="14"/>
    <col collapsed="false" customWidth="true" hidden="false" outlineLevel="0" max="15" min="15" style="0" width="13"/>
    <col collapsed="false" customWidth="true" hidden="false" outlineLevel="0" max="16" min="16" style="0" width="20"/>
  </cols>
  <sheetData>
    <row r="1" customFormat="false" ht="31.5" hidden="false" customHeight="true" outlineLevel="0" collapsed="false">
      <c r="A1" s="5" t="s">
        <v>60</v>
      </c>
      <c r="B1" s="5" t="s">
        <v>6</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customFormat="false" ht="61.15" hidden="false" customHeight="false" outlineLevel="0" collapsed="false">
      <c r="A2" s="6" t="s">
        <v>425</v>
      </c>
      <c r="B2" s="7" t="s">
        <v>19</v>
      </c>
      <c r="C2" s="6" t="s">
        <v>426</v>
      </c>
      <c r="D2" s="7" t="s">
        <v>427</v>
      </c>
      <c r="E2" s="7" t="s">
        <v>428</v>
      </c>
      <c r="F2" s="7" t="s">
        <v>429</v>
      </c>
      <c r="G2" s="7" t="s">
        <v>430</v>
      </c>
      <c r="H2" s="7" t="s">
        <v>431</v>
      </c>
      <c r="I2" s="20" t="s">
        <v>46</v>
      </c>
      <c r="J2" s="6" t="s">
        <v>77</v>
      </c>
      <c r="K2" s="6" t="s">
        <v>115</v>
      </c>
      <c r="L2" s="7" t="s">
        <v>432</v>
      </c>
      <c r="M2" s="6" t="s">
        <v>12</v>
      </c>
      <c r="N2" s="7"/>
      <c r="O2" s="6"/>
      <c r="P2" s="7" t="s">
        <v>150</v>
      </c>
    </row>
    <row r="3" customFormat="false" ht="61.15" hidden="false" customHeight="false" outlineLevel="0" collapsed="false">
      <c r="A3" s="6" t="s">
        <v>433</v>
      </c>
      <c r="B3" s="7" t="s">
        <v>19</v>
      </c>
      <c r="C3" s="6" t="s">
        <v>426</v>
      </c>
      <c r="D3" s="7" t="s">
        <v>434</v>
      </c>
      <c r="E3" s="7" t="s">
        <v>435</v>
      </c>
      <c r="F3" s="7" t="s">
        <v>436</v>
      </c>
      <c r="G3" s="7" t="s">
        <v>437</v>
      </c>
      <c r="H3" s="7" t="s">
        <v>438</v>
      </c>
      <c r="I3" s="22" t="s">
        <v>47</v>
      </c>
      <c r="J3" s="6" t="s">
        <v>77</v>
      </c>
      <c r="K3" s="6" t="s">
        <v>115</v>
      </c>
      <c r="L3" s="7" t="s">
        <v>432</v>
      </c>
      <c r="M3" s="6" t="s">
        <v>12</v>
      </c>
      <c r="N3" s="7"/>
      <c r="O3" s="6"/>
      <c r="P3" s="7" t="s">
        <v>150</v>
      </c>
    </row>
    <row r="4" customFormat="false" ht="61.15" hidden="false" customHeight="false" outlineLevel="0" collapsed="false">
      <c r="A4" s="6" t="s">
        <v>439</v>
      </c>
      <c r="B4" s="7" t="s">
        <v>19</v>
      </c>
      <c r="C4" s="6" t="s">
        <v>426</v>
      </c>
      <c r="D4" s="7" t="s">
        <v>440</v>
      </c>
      <c r="E4" s="7" t="s">
        <v>441</v>
      </c>
      <c r="F4" s="7" t="s">
        <v>442</v>
      </c>
      <c r="G4" s="7" t="s">
        <v>443</v>
      </c>
      <c r="H4" s="7" t="s">
        <v>444</v>
      </c>
      <c r="I4" s="25" t="s">
        <v>48</v>
      </c>
      <c r="J4" s="6" t="s">
        <v>77</v>
      </c>
      <c r="K4" s="6" t="s">
        <v>115</v>
      </c>
      <c r="L4" s="7" t="s">
        <v>432</v>
      </c>
      <c r="M4" s="6" t="s">
        <v>12</v>
      </c>
      <c r="N4" s="7"/>
      <c r="O4" s="6"/>
      <c r="P4" s="7" t="s">
        <v>150</v>
      </c>
    </row>
    <row r="5" customFormat="false" ht="61.15" hidden="false" customHeight="false" outlineLevel="0" collapsed="false">
      <c r="A5" s="6" t="s">
        <v>445</v>
      </c>
      <c r="B5" s="7" t="s">
        <v>19</v>
      </c>
      <c r="C5" s="6" t="s">
        <v>426</v>
      </c>
      <c r="D5" s="7" t="s">
        <v>446</v>
      </c>
      <c r="E5" s="7" t="s">
        <v>447</v>
      </c>
      <c r="F5" s="7" t="s">
        <v>448</v>
      </c>
      <c r="G5" s="7" t="s">
        <v>449</v>
      </c>
      <c r="H5" s="7" t="s">
        <v>450</v>
      </c>
      <c r="I5" s="25" t="s">
        <v>48</v>
      </c>
      <c r="J5" s="6" t="s">
        <v>82</v>
      </c>
      <c r="K5" s="6" t="s">
        <v>115</v>
      </c>
      <c r="L5" s="7" t="s">
        <v>432</v>
      </c>
      <c r="M5" s="6" t="s">
        <v>12</v>
      </c>
      <c r="N5" s="7"/>
      <c r="O5" s="6"/>
      <c r="P5" s="7" t="s">
        <v>150</v>
      </c>
    </row>
    <row r="6" customFormat="false" ht="61.15" hidden="false" customHeight="false" outlineLevel="0" collapsed="false">
      <c r="A6" s="6" t="s">
        <v>451</v>
      </c>
      <c r="B6" s="7" t="s">
        <v>19</v>
      </c>
      <c r="C6" s="6" t="s">
        <v>426</v>
      </c>
      <c r="D6" s="7" t="s">
        <v>452</v>
      </c>
      <c r="E6" s="7" t="s">
        <v>453</v>
      </c>
      <c r="F6" s="7" t="s">
        <v>454</v>
      </c>
      <c r="G6" s="7" t="s">
        <v>455</v>
      </c>
      <c r="H6" s="7" t="s">
        <v>456</v>
      </c>
      <c r="I6" s="20" t="s">
        <v>46</v>
      </c>
      <c r="J6" s="6" t="s">
        <v>77</v>
      </c>
      <c r="K6" s="6" t="s">
        <v>115</v>
      </c>
      <c r="L6" s="7" t="s">
        <v>432</v>
      </c>
      <c r="M6" s="6" t="s">
        <v>12</v>
      </c>
      <c r="N6" s="7"/>
      <c r="O6" s="6"/>
      <c r="P6" s="7" t="s">
        <v>150</v>
      </c>
    </row>
    <row r="7" customFormat="false" ht="97" hidden="false" customHeight="false" outlineLevel="0" collapsed="false">
      <c r="A7" s="6" t="s">
        <v>457</v>
      </c>
      <c r="B7" s="7" t="s">
        <v>19</v>
      </c>
      <c r="C7" s="6" t="s">
        <v>458</v>
      </c>
      <c r="D7" s="7" t="s">
        <v>459</v>
      </c>
      <c r="E7" s="7" t="s">
        <v>460</v>
      </c>
      <c r="F7" s="7" t="s">
        <v>461</v>
      </c>
      <c r="G7" s="7" t="s">
        <v>462</v>
      </c>
      <c r="H7" s="7" t="s">
        <v>463</v>
      </c>
      <c r="I7" s="20" t="s">
        <v>46</v>
      </c>
      <c r="J7" s="6" t="s">
        <v>77</v>
      </c>
      <c r="K7" s="6" t="s">
        <v>115</v>
      </c>
      <c r="L7" s="7" t="s">
        <v>464</v>
      </c>
      <c r="M7" s="21" t="s">
        <v>9</v>
      </c>
      <c r="N7" s="7" t="s">
        <v>117</v>
      </c>
      <c r="O7" s="6" t="s">
        <v>118</v>
      </c>
      <c r="P7" s="7" t="s">
        <v>308</v>
      </c>
    </row>
    <row r="8" customFormat="false" ht="49.25" hidden="false" customHeight="false" outlineLevel="0" collapsed="false">
      <c r="A8" s="6" t="s">
        <v>465</v>
      </c>
      <c r="B8" s="7" t="s">
        <v>19</v>
      </c>
      <c r="C8" s="6" t="s">
        <v>458</v>
      </c>
      <c r="D8" s="7" t="s">
        <v>466</v>
      </c>
      <c r="E8" s="7" t="s">
        <v>467</v>
      </c>
      <c r="F8" s="7" t="s">
        <v>468</v>
      </c>
      <c r="G8" s="7" t="s">
        <v>469</v>
      </c>
      <c r="H8" s="7" t="s">
        <v>470</v>
      </c>
      <c r="I8" s="20" t="s">
        <v>46</v>
      </c>
      <c r="J8" s="6" t="s">
        <v>77</v>
      </c>
      <c r="K8" s="6" t="s">
        <v>115</v>
      </c>
      <c r="L8" s="7" t="s">
        <v>471</v>
      </c>
      <c r="M8" s="21" t="s">
        <v>9</v>
      </c>
      <c r="N8" s="7" t="s">
        <v>117</v>
      </c>
      <c r="O8" s="6" t="s">
        <v>118</v>
      </c>
      <c r="P8" s="7" t="s">
        <v>308</v>
      </c>
    </row>
    <row r="9" customFormat="false" ht="25.35" hidden="false" customHeight="false" outlineLevel="0" collapsed="false">
      <c r="A9" s="6" t="s">
        <v>472</v>
      </c>
      <c r="B9" s="7" t="s">
        <v>19</v>
      </c>
      <c r="C9" s="6" t="s">
        <v>458</v>
      </c>
      <c r="D9" s="7" t="s">
        <v>473</v>
      </c>
      <c r="E9" s="7" t="s">
        <v>474</v>
      </c>
      <c r="F9" s="7" t="s">
        <v>475</v>
      </c>
      <c r="G9" s="7" t="s">
        <v>476</v>
      </c>
      <c r="H9" s="7" t="s">
        <v>477</v>
      </c>
      <c r="I9" s="22" t="s">
        <v>47</v>
      </c>
      <c r="J9" s="6" t="s">
        <v>77</v>
      </c>
      <c r="K9" s="6" t="s">
        <v>115</v>
      </c>
      <c r="L9" s="7" t="s">
        <v>478</v>
      </c>
      <c r="M9" s="21" t="s">
        <v>9</v>
      </c>
      <c r="N9" s="7" t="s">
        <v>117</v>
      </c>
      <c r="O9" s="6" t="s">
        <v>118</v>
      </c>
      <c r="P9" s="7"/>
    </row>
    <row r="10" customFormat="false" ht="25.35" hidden="false" customHeight="false" outlineLevel="0" collapsed="false">
      <c r="A10" s="6" t="s">
        <v>479</v>
      </c>
      <c r="B10" s="7" t="s">
        <v>19</v>
      </c>
      <c r="C10" s="6" t="s">
        <v>458</v>
      </c>
      <c r="D10" s="7" t="s">
        <v>480</v>
      </c>
      <c r="E10" s="7" t="s">
        <v>481</v>
      </c>
      <c r="F10" s="7" t="s">
        <v>482</v>
      </c>
      <c r="G10" s="7" t="s">
        <v>476</v>
      </c>
      <c r="H10" s="7" t="s">
        <v>483</v>
      </c>
      <c r="I10" s="22" t="s">
        <v>47</v>
      </c>
      <c r="J10" s="6" t="s">
        <v>77</v>
      </c>
      <c r="K10" s="6" t="s">
        <v>115</v>
      </c>
      <c r="L10" s="7" t="s">
        <v>484</v>
      </c>
      <c r="M10" s="21" t="s">
        <v>9</v>
      </c>
      <c r="N10" s="7" t="s">
        <v>117</v>
      </c>
      <c r="O10" s="6" t="s">
        <v>118</v>
      </c>
      <c r="P10" s="7"/>
    </row>
    <row r="11" customFormat="false" ht="25.35" hidden="false" customHeight="false" outlineLevel="0" collapsed="false">
      <c r="A11" s="6" t="s">
        <v>485</v>
      </c>
      <c r="B11" s="7" t="s">
        <v>19</v>
      </c>
      <c r="C11" s="6" t="s">
        <v>458</v>
      </c>
      <c r="D11" s="7" t="s">
        <v>486</v>
      </c>
      <c r="E11" s="7" t="s">
        <v>487</v>
      </c>
      <c r="F11" s="7" t="s">
        <v>488</v>
      </c>
      <c r="G11" s="7" t="s">
        <v>489</v>
      </c>
      <c r="H11" s="7" t="s">
        <v>490</v>
      </c>
      <c r="I11" s="22" t="s">
        <v>47</v>
      </c>
      <c r="J11" s="6" t="s">
        <v>77</v>
      </c>
      <c r="K11" s="6" t="s">
        <v>115</v>
      </c>
      <c r="L11" s="7" t="s">
        <v>491</v>
      </c>
      <c r="M11" s="21" t="s">
        <v>9</v>
      </c>
      <c r="N11" s="7" t="s">
        <v>117</v>
      </c>
      <c r="O11" s="6" t="s">
        <v>118</v>
      </c>
      <c r="P11" s="7"/>
    </row>
    <row r="12" customFormat="false" ht="25.35" hidden="false" customHeight="false" outlineLevel="0" collapsed="false">
      <c r="A12" s="6" t="s">
        <v>492</v>
      </c>
      <c r="B12" s="7" t="s">
        <v>19</v>
      </c>
      <c r="C12" s="6" t="s">
        <v>458</v>
      </c>
      <c r="D12" s="7" t="s">
        <v>493</v>
      </c>
      <c r="E12" s="7" t="s">
        <v>231</v>
      </c>
      <c r="F12" s="7" t="s">
        <v>494</v>
      </c>
      <c r="G12" s="7" t="s">
        <v>495</v>
      </c>
      <c r="H12" s="7" t="s">
        <v>496</v>
      </c>
      <c r="I12" s="24" t="s">
        <v>49</v>
      </c>
      <c r="J12" s="6" t="s">
        <v>77</v>
      </c>
      <c r="K12" s="6" t="s">
        <v>115</v>
      </c>
      <c r="L12" s="7" t="s">
        <v>497</v>
      </c>
      <c r="M12" s="21" t="s">
        <v>9</v>
      </c>
      <c r="N12" s="7" t="s">
        <v>117</v>
      </c>
      <c r="O12" s="6" t="s">
        <v>118</v>
      </c>
      <c r="P12" s="7"/>
    </row>
    <row r="13" customFormat="false" ht="49.25" hidden="false" customHeight="false" outlineLevel="0" collapsed="false">
      <c r="A13" s="6" t="s">
        <v>498</v>
      </c>
      <c r="B13" s="7" t="s">
        <v>19</v>
      </c>
      <c r="C13" s="6" t="s">
        <v>458</v>
      </c>
      <c r="D13" s="7" t="s">
        <v>499</v>
      </c>
      <c r="E13" s="7" t="s">
        <v>500</v>
      </c>
      <c r="F13" s="7" t="s">
        <v>501</v>
      </c>
      <c r="G13" s="7" t="s">
        <v>502</v>
      </c>
      <c r="H13" s="7" t="s">
        <v>503</v>
      </c>
      <c r="I13" s="25" t="s">
        <v>48</v>
      </c>
      <c r="J13" s="6" t="s">
        <v>77</v>
      </c>
      <c r="K13" s="6" t="s">
        <v>115</v>
      </c>
      <c r="L13" s="7" t="s">
        <v>504</v>
      </c>
      <c r="M13" s="21" t="s">
        <v>9</v>
      </c>
      <c r="N13" s="7" t="s">
        <v>117</v>
      </c>
      <c r="O13" s="6" t="s">
        <v>118</v>
      </c>
      <c r="P13" s="7" t="s">
        <v>505</v>
      </c>
    </row>
    <row r="14" customFormat="false" ht="37.3" hidden="false" customHeight="false" outlineLevel="0" collapsed="false">
      <c r="A14" s="6" t="s">
        <v>506</v>
      </c>
      <c r="B14" s="7" t="s">
        <v>19</v>
      </c>
      <c r="C14" s="6" t="s">
        <v>458</v>
      </c>
      <c r="D14" s="7" t="s">
        <v>507</v>
      </c>
      <c r="E14" s="7" t="s">
        <v>508</v>
      </c>
      <c r="F14" s="7" t="s">
        <v>509</v>
      </c>
      <c r="G14" s="7" t="s">
        <v>510</v>
      </c>
      <c r="H14" s="7" t="s">
        <v>511</v>
      </c>
      <c r="I14" s="22" t="s">
        <v>47</v>
      </c>
      <c r="J14" s="6" t="s">
        <v>77</v>
      </c>
      <c r="K14" s="6" t="s">
        <v>115</v>
      </c>
      <c r="L14" s="7" t="s">
        <v>512</v>
      </c>
      <c r="M14" s="21" t="s">
        <v>9</v>
      </c>
      <c r="N14" s="7" t="s">
        <v>117</v>
      </c>
      <c r="O14" s="6" t="s">
        <v>118</v>
      </c>
      <c r="P14" s="7" t="s">
        <v>505</v>
      </c>
    </row>
    <row r="15" customFormat="false" ht="37.3" hidden="false" customHeight="false" outlineLevel="0" collapsed="false">
      <c r="A15" s="6" t="s">
        <v>513</v>
      </c>
      <c r="B15" s="7" t="s">
        <v>19</v>
      </c>
      <c r="C15" s="6" t="s">
        <v>458</v>
      </c>
      <c r="D15" s="7" t="s">
        <v>514</v>
      </c>
      <c r="E15" s="7" t="s">
        <v>515</v>
      </c>
      <c r="F15" s="7" t="s">
        <v>516</v>
      </c>
      <c r="G15" s="7" t="s">
        <v>517</v>
      </c>
      <c r="H15" s="7" t="s">
        <v>518</v>
      </c>
      <c r="I15" s="25" t="s">
        <v>48</v>
      </c>
      <c r="J15" s="6" t="s">
        <v>77</v>
      </c>
      <c r="K15" s="6" t="s">
        <v>57</v>
      </c>
      <c r="L15" s="7" t="s">
        <v>519</v>
      </c>
      <c r="M15" s="21" t="s">
        <v>9</v>
      </c>
      <c r="N15" s="7" t="s">
        <v>117</v>
      </c>
      <c r="O15" s="6" t="s">
        <v>118</v>
      </c>
      <c r="P15" s="7" t="s">
        <v>520</v>
      </c>
    </row>
    <row r="16" customFormat="false" ht="49.25" hidden="false" customHeight="false" outlineLevel="0" collapsed="false">
      <c r="A16" s="6" t="s">
        <v>521</v>
      </c>
      <c r="B16" s="7" t="s">
        <v>19</v>
      </c>
      <c r="C16" s="6" t="s">
        <v>458</v>
      </c>
      <c r="D16" s="7" t="s">
        <v>522</v>
      </c>
      <c r="E16" s="7" t="s">
        <v>523</v>
      </c>
      <c r="F16" s="7" t="s">
        <v>524</v>
      </c>
      <c r="G16" s="7" t="s">
        <v>525</v>
      </c>
      <c r="H16" s="7" t="s">
        <v>526</v>
      </c>
      <c r="I16" s="20" t="s">
        <v>46</v>
      </c>
      <c r="J16" s="6" t="s">
        <v>82</v>
      </c>
      <c r="K16" s="6" t="s">
        <v>57</v>
      </c>
      <c r="L16" s="7" t="s">
        <v>527</v>
      </c>
      <c r="M16" s="6" t="s">
        <v>12</v>
      </c>
      <c r="N16" s="7"/>
      <c r="O16" s="6"/>
      <c r="P16" s="7" t="s">
        <v>528</v>
      </c>
    </row>
    <row r="17" customFormat="false" ht="49.25" hidden="false" customHeight="false" outlineLevel="0" collapsed="false">
      <c r="A17" s="6" t="s">
        <v>529</v>
      </c>
      <c r="B17" s="7" t="s">
        <v>19</v>
      </c>
      <c r="C17" s="6" t="s">
        <v>530</v>
      </c>
      <c r="D17" s="7" t="s">
        <v>531</v>
      </c>
      <c r="E17" s="7" t="s">
        <v>532</v>
      </c>
      <c r="F17" s="7" t="s">
        <v>533</v>
      </c>
      <c r="G17" s="7" t="s">
        <v>534</v>
      </c>
      <c r="H17" s="7" t="s">
        <v>535</v>
      </c>
      <c r="I17" s="20" t="s">
        <v>46</v>
      </c>
      <c r="J17" s="6" t="s">
        <v>77</v>
      </c>
      <c r="K17" s="6" t="s">
        <v>115</v>
      </c>
      <c r="L17" s="7" t="s">
        <v>536</v>
      </c>
      <c r="M17" s="21" t="s">
        <v>9</v>
      </c>
      <c r="N17" s="7" t="s">
        <v>117</v>
      </c>
      <c r="O17" s="6" t="s">
        <v>118</v>
      </c>
      <c r="P17" s="7" t="s">
        <v>308</v>
      </c>
    </row>
    <row r="18" customFormat="false" ht="61.15" hidden="false" customHeight="false" outlineLevel="0" collapsed="false">
      <c r="A18" s="6" t="s">
        <v>537</v>
      </c>
      <c r="B18" s="7" t="s">
        <v>19</v>
      </c>
      <c r="C18" s="6" t="s">
        <v>530</v>
      </c>
      <c r="D18" s="7" t="s">
        <v>538</v>
      </c>
      <c r="E18" s="7" t="s">
        <v>539</v>
      </c>
      <c r="F18" s="7" t="s">
        <v>540</v>
      </c>
      <c r="G18" s="7" t="s">
        <v>541</v>
      </c>
      <c r="H18" s="7" t="s">
        <v>542</v>
      </c>
      <c r="I18" s="20" t="s">
        <v>46</v>
      </c>
      <c r="J18" s="6" t="s">
        <v>77</v>
      </c>
      <c r="K18" s="6" t="s">
        <v>115</v>
      </c>
      <c r="L18" s="7" t="s">
        <v>543</v>
      </c>
      <c r="M18" s="6" t="s">
        <v>12</v>
      </c>
      <c r="N18" s="7"/>
      <c r="O18" s="6"/>
      <c r="P18" s="7" t="s">
        <v>150</v>
      </c>
    </row>
    <row r="19" customFormat="false" ht="120.85" hidden="false" customHeight="false" outlineLevel="0" collapsed="false">
      <c r="A19" s="6" t="s">
        <v>544</v>
      </c>
      <c r="B19" s="7" t="s">
        <v>19</v>
      </c>
      <c r="C19" s="6" t="s">
        <v>530</v>
      </c>
      <c r="D19" s="7" t="s">
        <v>545</v>
      </c>
      <c r="E19" s="7" t="s">
        <v>546</v>
      </c>
      <c r="F19" s="7" t="s">
        <v>547</v>
      </c>
      <c r="G19" s="7" t="s">
        <v>548</v>
      </c>
      <c r="H19" s="7" t="s">
        <v>549</v>
      </c>
      <c r="I19" s="24" t="s">
        <v>49</v>
      </c>
      <c r="J19" s="6" t="s">
        <v>77</v>
      </c>
      <c r="K19" s="6" t="s">
        <v>115</v>
      </c>
      <c r="L19" s="7" t="s">
        <v>550</v>
      </c>
      <c r="M19" s="21" t="s">
        <v>9</v>
      </c>
      <c r="N19" s="7" t="s">
        <v>117</v>
      </c>
      <c r="O19" s="6" t="s">
        <v>118</v>
      </c>
      <c r="P19" s="7" t="s">
        <v>551</v>
      </c>
    </row>
    <row r="20" customFormat="false" ht="37.3" hidden="false" customHeight="false" outlineLevel="0" collapsed="false">
      <c r="A20" s="6" t="s">
        <v>552</v>
      </c>
      <c r="B20" s="7" t="s">
        <v>19</v>
      </c>
      <c r="C20" s="6" t="s">
        <v>530</v>
      </c>
      <c r="D20" s="7" t="s">
        <v>553</v>
      </c>
      <c r="E20" s="7" t="s">
        <v>554</v>
      </c>
      <c r="F20" s="7" t="s">
        <v>555</v>
      </c>
      <c r="G20" s="7" t="s">
        <v>556</v>
      </c>
      <c r="H20" s="7" t="s">
        <v>557</v>
      </c>
      <c r="I20" s="20" t="s">
        <v>46</v>
      </c>
      <c r="J20" s="6" t="s">
        <v>77</v>
      </c>
      <c r="K20" s="6" t="s">
        <v>115</v>
      </c>
      <c r="L20" s="7" t="s">
        <v>558</v>
      </c>
      <c r="M20" s="21" t="s">
        <v>9</v>
      </c>
      <c r="N20" s="7" t="s">
        <v>117</v>
      </c>
      <c r="O20" s="6" t="s">
        <v>118</v>
      </c>
      <c r="P20" s="7"/>
    </row>
    <row r="21" customFormat="false" ht="85.05" hidden="false" customHeight="false" outlineLevel="0" collapsed="false">
      <c r="A21" s="6" t="s">
        <v>559</v>
      </c>
      <c r="B21" s="7" t="s">
        <v>19</v>
      </c>
      <c r="C21" s="6" t="s">
        <v>530</v>
      </c>
      <c r="D21" s="7" t="s">
        <v>560</v>
      </c>
      <c r="E21" s="7" t="s">
        <v>561</v>
      </c>
      <c r="F21" s="7" t="s">
        <v>562</v>
      </c>
      <c r="G21" s="7" t="s">
        <v>563</v>
      </c>
      <c r="H21" s="7" t="s">
        <v>564</v>
      </c>
      <c r="I21" s="22" t="s">
        <v>47</v>
      </c>
      <c r="J21" s="6" t="s">
        <v>77</v>
      </c>
      <c r="K21" s="6" t="s">
        <v>115</v>
      </c>
      <c r="L21" s="7" t="s">
        <v>565</v>
      </c>
      <c r="M21" s="21" t="s">
        <v>9</v>
      </c>
      <c r="N21" s="7" t="s">
        <v>117</v>
      </c>
      <c r="O21" s="6" t="s">
        <v>118</v>
      </c>
      <c r="P21" s="7"/>
    </row>
    <row r="22" customFormat="false" ht="25.35" hidden="false" customHeight="false" outlineLevel="0" collapsed="false">
      <c r="A22" s="6" t="s">
        <v>566</v>
      </c>
      <c r="B22" s="7" t="s">
        <v>19</v>
      </c>
      <c r="C22" s="6" t="s">
        <v>567</v>
      </c>
      <c r="D22" s="7" t="s">
        <v>568</v>
      </c>
      <c r="E22" s="7" t="s">
        <v>569</v>
      </c>
      <c r="F22" s="7" t="s">
        <v>570</v>
      </c>
      <c r="G22" s="7" t="s">
        <v>571</v>
      </c>
      <c r="H22" s="7" t="s">
        <v>572</v>
      </c>
      <c r="I22" s="22" t="s">
        <v>47</v>
      </c>
      <c r="J22" s="6" t="s">
        <v>77</v>
      </c>
      <c r="K22" s="6" t="s">
        <v>115</v>
      </c>
      <c r="L22" s="7" t="s">
        <v>573</v>
      </c>
      <c r="M22" s="21" t="s">
        <v>9</v>
      </c>
      <c r="N22" s="7" t="s">
        <v>117</v>
      </c>
      <c r="O22" s="6" t="s">
        <v>118</v>
      </c>
      <c r="P22" s="7"/>
    </row>
    <row r="23" customFormat="false" ht="85.05" hidden="false" customHeight="false" outlineLevel="0" collapsed="false">
      <c r="A23" s="6" t="s">
        <v>79</v>
      </c>
      <c r="B23" s="7" t="s">
        <v>19</v>
      </c>
      <c r="C23" s="6" t="s">
        <v>567</v>
      </c>
      <c r="D23" s="7" t="s">
        <v>574</v>
      </c>
      <c r="E23" s="7" t="s">
        <v>569</v>
      </c>
      <c r="F23" s="7" t="s">
        <v>575</v>
      </c>
      <c r="G23" s="7" t="s">
        <v>576</v>
      </c>
      <c r="H23" s="7" t="s">
        <v>577</v>
      </c>
      <c r="I23" s="20" t="s">
        <v>46</v>
      </c>
      <c r="J23" s="6" t="s">
        <v>77</v>
      </c>
      <c r="K23" s="6" t="s">
        <v>115</v>
      </c>
      <c r="L23" s="7" t="s">
        <v>578</v>
      </c>
      <c r="M23" s="23" t="s">
        <v>10</v>
      </c>
      <c r="N23" s="7" t="s">
        <v>117</v>
      </c>
      <c r="O23" s="6" t="s">
        <v>118</v>
      </c>
      <c r="P23" s="7" t="s">
        <v>579</v>
      </c>
    </row>
  </sheetData>
  <autoFilter ref="A1:P23"/>
  <dataValidations count="1">
    <dataValidation allowBlank="true" errorStyle="stop" operator="between" showDropDown="false" showErrorMessage="false" showInputMessage="false" sqref="M2:M23" type="list">
      <formula1>"Pass,Fail,Blocked,Chưa thực hiện"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28"/>
    <col collapsed="false" customWidth="true" hidden="false" outlineLevel="0" max="6" min="6" style="0" width="30"/>
    <col collapsed="false" customWidth="true" hidden="false" outlineLevel="0" max="7" min="7" style="0" width="38"/>
    <col collapsed="false" customWidth="true" hidden="false" outlineLevel="0" max="8" min="8" style="0" width="46"/>
    <col collapsed="false" customWidth="true" hidden="false" outlineLevel="0" max="9" min="9" style="0" width="11"/>
    <col collapsed="false" customWidth="true" hidden="false" outlineLevel="0" max="11" min="10" style="0" width="12"/>
    <col collapsed="false" customWidth="true" hidden="false" outlineLevel="0" max="12" min="12" style="0" width="26"/>
    <col collapsed="false" customWidth="true" hidden="false" outlineLevel="0" max="14" min="13" style="0" width="14"/>
    <col collapsed="false" customWidth="true" hidden="false" outlineLevel="0" max="15" min="15" style="0" width="13"/>
    <col collapsed="false" customWidth="true" hidden="false" outlineLevel="0" max="16" min="16" style="0" width="20"/>
  </cols>
  <sheetData>
    <row r="1" customFormat="false" ht="31.5" hidden="false" customHeight="true" outlineLevel="0" collapsed="false">
      <c r="A1" s="5" t="s">
        <v>60</v>
      </c>
      <c r="B1" s="5" t="s">
        <v>6</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customFormat="false" ht="73.1" hidden="false" customHeight="false" outlineLevel="0" collapsed="false">
      <c r="A2" s="6" t="s">
        <v>580</v>
      </c>
      <c r="B2" s="7" t="s">
        <v>21</v>
      </c>
      <c r="C2" s="6" t="s">
        <v>581</v>
      </c>
      <c r="D2" s="7" t="s">
        <v>582</v>
      </c>
      <c r="E2" s="7" t="s">
        <v>324</v>
      </c>
      <c r="F2" s="7" t="s">
        <v>583</v>
      </c>
      <c r="G2" s="7" t="s">
        <v>584</v>
      </c>
      <c r="H2" s="7" t="s">
        <v>585</v>
      </c>
      <c r="I2" s="20" t="s">
        <v>46</v>
      </c>
      <c r="J2" s="6" t="s">
        <v>77</v>
      </c>
      <c r="K2" s="6" t="s">
        <v>115</v>
      </c>
      <c r="L2" s="7" t="s">
        <v>586</v>
      </c>
      <c r="M2" s="21" t="s">
        <v>9</v>
      </c>
      <c r="N2" s="7" t="s">
        <v>117</v>
      </c>
      <c r="O2" s="6" t="s">
        <v>118</v>
      </c>
      <c r="P2" s="7"/>
    </row>
    <row r="3" customFormat="false" ht="49.25" hidden="false" customHeight="false" outlineLevel="0" collapsed="false">
      <c r="A3" s="6" t="s">
        <v>587</v>
      </c>
      <c r="B3" s="7" t="s">
        <v>21</v>
      </c>
      <c r="C3" s="6" t="s">
        <v>581</v>
      </c>
      <c r="D3" s="7" t="s">
        <v>588</v>
      </c>
      <c r="E3" s="7" t="s">
        <v>589</v>
      </c>
      <c r="F3" s="7" t="s">
        <v>590</v>
      </c>
      <c r="G3" s="7" t="s">
        <v>591</v>
      </c>
      <c r="H3" s="7" t="s">
        <v>592</v>
      </c>
      <c r="I3" s="22" t="s">
        <v>47</v>
      </c>
      <c r="J3" s="6" t="s">
        <v>82</v>
      </c>
      <c r="K3" s="6" t="s">
        <v>115</v>
      </c>
      <c r="L3" s="7" t="s">
        <v>593</v>
      </c>
      <c r="M3" s="21" t="s">
        <v>9</v>
      </c>
      <c r="N3" s="7" t="s">
        <v>117</v>
      </c>
      <c r="O3" s="6" t="s">
        <v>118</v>
      </c>
      <c r="P3" s="7" t="s">
        <v>264</v>
      </c>
    </row>
    <row r="4" customFormat="false" ht="37.3" hidden="false" customHeight="false" outlineLevel="0" collapsed="false">
      <c r="A4" s="6" t="s">
        <v>594</v>
      </c>
      <c r="B4" s="7" t="s">
        <v>21</v>
      </c>
      <c r="C4" s="6" t="s">
        <v>581</v>
      </c>
      <c r="D4" s="7" t="s">
        <v>595</v>
      </c>
      <c r="E4" s="7" t="s">
        <v>596</v>
      </c>
      <c r="F4" s="7" t="s">
        <v>533</v>
      </c>
      <c r="G4" s="7" t="s">
        <v>597</v>
      </c>
      <c r="H4" s="7" t="s">
        <v>598</v>
      </c>
      <c r="I4" s="20" t="s">
        <v>46</v>
      </c>
      <c r="J4" s="6" t="s">
        <v>77</v>
      </c>
      <c r="K4" s="6" t="s">
        <v>115</v>
      </c>
      <c r="L4" s="7" t="s">
        <v>599</v>
      </c>
      <c r="M4" s="21" t="s">
        <v>9</v>
      </c>
      <c r="N4" s="7" t="s">
        <v>117</v>
      </c>
      <c r="O4" s="6" t="s">
        <v>118</v>
      </c>
      <c r="P4" s="7"/>
    </row>
    <row r="5" customFormat="false" ht="37.3" hidden="false" customHeight="false" outlineLevel="0" collapsed="false">
      <c r="A5" s="6" t="s">
        <v>600</v>
      </c>
      <c r="B5" s="7" t="s">
        <v>21</v>
      </c>
      <c r="C5" s="6" t="s">
        <v>581</v>
      </c>
      <c r="D5" s="7" t="s">
        <v>601</v>
      </c>
      <c r="E5" s="7" t="s">
        <v>602</v>
      </c>
      <c r="F5" s="7" t="s">
        <v>603</v>
      </c>
      <c r="G5" s="7" t="s">
        <v>604</v>
      </c>
      <c r="H5" s="7" t="s">
        <v>605</v>
      </c>
      <c r="I5" s="20" t="s">
        <v>46</v>
      </c>
      <c r="J5" s="6" t="s">
        <v>77</v>
      </c>
      <c r="K5" s="6" t="s">
        <v>115</v>
      </c>
      <c r="L5" s="7" t="s">
        <v>606</v>
      </c>
      <c r="M5" s="21" t="s">
        <v>9</v>
      </c>
      <c r="N5" s="7" t="s">
        <v>117</v>
      </c>
      <c r="O5" s="6" t="s">
        <v>118</v>
      </c>
      <c r="P5" s="7"/>
    </row>
    <row r="6" customFormat="false" ht="49.25" hidden="false" customHeight="false" outlineLevel="0" collapsed="false">
      <c r="A6" s="6" t="s">
        <v>607</v>
      </c>
      <c r="B6" s="7" t="s">
        <v>21</v>
      </c>
      <c r="C6" s="6" t="s">
        <v>581</v>
      </c>
      <c r="D6" s="7" t="s">
        <v>608</v>
      </c>
      <c r="E6" s="7" t="s">
        <v>609</v>
      </c>
      <c r="F6" s="7" t="s">
        <v>610</v>
      </c>
      <c r="G6" s="7" t="s">
        <v>611</v>
      </c>
      <c r="H6" s="7" t="s">
        <v>612</v>
      </c>
      <c r="I6" s="22" t="s">
        <v>47</v>
      </c>
      <c r="J6" s="6" t="s">
        <v>77</v>
      </c>
      <c r="K6" s="6" t="s">
        <v>115</v>
      </c>
      <c r="L6" s="7" t="s">
        <v>613</v>
      </c>
      <c r="M6" s="21" t="s">
        <v>9</v>
      </c>
      <c r="N6" s="7" t="s">
        <v>117</v>
      </c>
      <c r="O6" s="6" t="s">
        <v>118</v>
      </c>
      <c r="P6" s="7" t="s">
        <v>308</v>
      </c>
    </row>
    <row r="7" customFormat="false" ht="25.35" hidden="false" customHeight="false" outlineLevel="0" collapsed="false">
      <c r="A7" s="6" t="s">
        <v>614</v>
      </c>
      <c r="B7" s="7" t="s">
        <v>21</v>
      </c>
      <c r="C7" s="6" t="s">
        <v>581</v>
      </c>
      <c r="D7" s="7" t="s">
        <v>615</v>
      </c>
      <c r="E7" s="7" t="s">
        <v>616</v>
      </c>
      <c r="F7" s="7" t="s">
        <v>617</v>
      </c>
      <c r="G7" s="7" t="s">
        <v>618</v>
      </c>
      <c r="H7" s="7" t="s">
        <v>619</v>
      </c>
      <c r="I7" s="22" t="s">
        <v>47</v>
      </c>
      <c r="J7" s="6" t="s">
        <v>77</v>
      </c>
      <c r="K7" s="6" t="s">
        <v>115</v>
      </c>
      <c r="L7" s="7" t="s">
        <v>620</v>
      </c>
      <c r="M7" s="21" t="s">
        <v>9</v>
      </c>
      <c r="N7" s="7" t="s">
        <v>117</v>
      </c>
      <c r="O7" s="6" t="s">
        <v>118</v>
      </c>
      <c r="P7" s="7"/>
    </row>
    <row r="8" customFormat="false" ht="49.25" hidden="false" customHeight="false" outlineLevel="0" collapsed="false">
      <c r="A8" s="6" t="s">
        <v>621</v>
      </c>
      <c r="B8" s="7" t="s">
        <v>21</v>
      </c>
      <c r="C8" s="6" t="s">
        <v>581</v>
      </c>
      <c r="D8" s="7" t="s">
        <v>622</v>
      </c>
      <c r="E8" s="7" t="s">
        <v>623</v>
      </c>
      <c r="F8" s="7" t="s">
        <v>624</v>
      </c>
      <c r="G8" s="7" t="s">
        <v>618</v>
      </c>
      <c r="H8" s="7" t="s">
        <v>619</v>
      </c>
      <c r="I8" s="25" t="s">
        <v>48</v>
      </c>
      <c r="J8" s="6" t="s">
        <v>77</v>
      </c>
      <c r="K8" s="6" t="s">
        <v>115</v>
      </c>
      <c r="L8" s="7" t="s">
        <v>625</v>
      </c>
      <c r="M8" s="21" t="s">
        <v>9</v>
      </c>
      <c r="N8" s="7" t="s">
        <v>117</v>
      </c>
      <c r="O8" s="6" t="s">
        <v>118</v>
      </c>
      <c r="P8" s="7" t="s">
        <v>308</v>
      </c>
    </row>
    <row r="9" customFormat="false" ht="49.25" hidden="false" customHeight="false" outlineLevel="0" collapsed="false">
      <c r="A9" s="6" t="s">
        <v>626</v>
      </c>
      <c r="B9" s="7" t="s">
        <v>21</v>
      </c>
      <c r="C9" s="6" t="s">
        <v>581</v>
      </c>
      <c r="D9" s="7" t="s">
        <v>627</v>
      </c>
      <c r="E9" s="7" t="s">
        <v>628</v>
      </c>
      <c r="F9" s="7" t="s">
        <v>629</v>
      </c>
      <c r="G9" s="7" t="s">
        <v>630</v>
      </c>
      <c r="H9" s="7" t="s">
        <v>631</v>
      </c>
      <c r="I9" s="25" t="s">
        <v>48</v>
      </c>
      <c r="J9" s="6" t="s">
        <v>77</v>
      </c>
      <c r="K9" s="6" t="s">
        <v>115</v>
      </c>
      <c r="L9" s="7" t="s">
        <v>632</v>
      </c>
      <c r="M9" s="21" t="s">
        <v>9</v>
      </c>
      <c r="N9" s="7" t="s">
        <v>117</v>
      </c>
      <c r="O9" s="6" t="s">
        <v>118</v>
      </c>
      <c r="P9" s="7"/>
    </row>
    <row r="10" customFormat="false" ht="73.1" hidden="false" customHeight="false" outlineLevel="0" collapsed="false">
      <c r="A10" s="6" t="s">
        <v>633</v>
      </c>
      <c r="B10" s="7" t="s">
        <v>21</v>
      </c>
      <c r="C10" s="6" t="s">
        <v>581</v>
      </c>
      <c r="D10" s="7" t="s">
        <v>634</v>
      </c>
      <c r="E10" s="7" t="s">
        <v>635</v>
      </c>
      <c r="F10" s="7" t="s">
        <v>636</v>
      </c>
      <c r="G10" s="7" t="s">
        <v>630</v>
      </c>
      <c r="H10" s="7" t="s">
        <v>637</v>
      </c>
      <c r="I10" s="25" t="s">
        <v>48</v>
      </c>
      <c r="J10" s="6" t="s">
        <v>77</v>
      </c>
      <c r="K10" s="6" t="s">
        <v>115</v>
      </c>
      <c r="L10" s="7" t="s">
        <v>638</v>
      </c>
      <c r="M10" s="21" t="s">
        <v>9</v>
      </c>
      <c r="N10" s="7" t="s">
        <v>117</v>
      </c>
      <c r="O10" s="6" t="s">
        <v>118</v>
      </c>
      <c r="P10" s="7" t="s">
        <v>639</v>
      </c>
    </row>
    <row r="11" customFormat="false" ht="25.35" hidden="false" customHeight="false" outlineLevel="0" collapsed="false">
      <c r="A11" s="6" t="s">
        <v>640</v>
      </c>
      <c r="B11" s="7" t="s">
        <v>21</v>
      </c>
      <c r="C11" s="6" t="s">
        <v>581</v>
      </c>
      <c r="D11" s="7" t="s">
        <v>641</v>
      </c>
      <c r="E11" s="7" t="s">
        <v>231</v>
      </c>
      <c r="F11" s="7" t="s">
        <v>642</v>
      </c>
      <c r="G11" s="7" t="s">
        <v>630</v>
      </c>
      <c r="H11" s="7" t="s">
        <v>643</v>
      </c>
      <c r="I11" s="22" t="s">
        <v>47</v>
      </c>
      <c r="J11" s="6" t="s">
        <v>77</v>
      </c>
      <c r="K11" s="6" t="s">
        <v>115</v>
      </c>
      <c r="L11" s="7" t="s">
        <v>644</v>
      </c>
      <c r="M11" s="21" t="s">
        <v>9</v>
      </c>
      <c r="N11" s="7" t="s">
        <v>117</v>
      </c>
      <c r="O11" s="6" t="s">
        <v>118</v>
      </c>
      <c r="P11" s="7" t="s">
        <v>645</v>
      </c>
    </row>
    <row r="12" customFormat="false" ht="49.25" hidden="false" customHeight="false" outlineLevel="0" collapsed="false">
      <c r="A12" s="6" t="s">
        <v>646</v>
      </c>
      <c r="B12" s="7" t="s">
        <v>21</v>
      </c>
      <c r="C12" s="6" t="s">
        <v>458</v>
      </c>
      <c r="D12" s="7" t="s">
        <v>647</v>
      </c>
      <c r="E12" s="7" t="s">
        <v>648</v>
      </c>
      <c r="F12" s="7" t="s">
        <v>649</v>
      </c>
      <c r="G12" s="7" t="s">
        <v>650</v>
      </c>
      <c r="H12" s="7" t="s">
        <v>651</v>
      </c>
      <c r="I12" s="20" t="s">
        <v>46</v>
      </c>
      <c r="J12" s="6" t="s">
        <v>77</v>
      </c>
      <c r="K12" s="6" t="s">
        <v>115</v>
      </c>
      <c r="L12" s="7" t="s">
        <v>652</v>
      </c>
      <c r="M12" s="21" t="s">
        <v>9</v>
      </c>
      <c r="N12" s="7" t="s">
        <v>117</v>
      </c>
      <c r="O12" s="6" t="s">
        <v>118</v>
      </c>
      <c r="P12" s="7" t="s">
        <v>308</v>
      </c>
    </row>
    <row r="13" customFormat="false" ht="37.3" hidden="false" customHeight="false" outlineLevel="0" collapsed="false">
      <c r="A13" s="6" t="s">
        <v>653</v>
      </c>
      <c r="B13" s="7" t="s">
        <v>21</v>
      </c>
      <c r="C13" s="6" t="s">
        <v>458</v>
      </c>
      <c r="D13" s="7" t="s">
        <v>654</v>
      </c>
      <c r="E13" s="7" t="s">
        <v>655</v>
      </c>
      <c r="F13" s="7" t="s">
        <v>649</v>
      </c>
      <c r="G13" s="7" t="s">
        <v>656</v>
      </c>
      <c r="H13" s="7" t="s">
        <v>657</v>
      </c>
      <c r="I13" s="24" t="s">
        <v>49</v>
      </c>
      <c r="J13" s="6" t="s">
        <v>77</v>
      </c>
      <c r="K13" s="6" t="s">
        <v>115</v>
      </c>
      <c r="L13" s="7" t="s">
        <v>658</v>
      </c>
      <c r="M13" s="21" t="s">
        <v>9</v>
      </c>
      <c r="N13" s="7" t="s">
        <v>117</v>
      </c>
      <c r="O13" s="6" t="s">
        <v>118</v>
      </c>
      <c r="P13" s="7" t="s">
        <v>505</v>
      </c>
    </row>
  </sheetData>
  <autoFilter ref="A1:P13"/>
  <dataValidations count="1">
    <dataValidation allowBlank="true" errorStyle="stop" operator="between" showDropDown="false" showErrorMessage="false" showInputMessage="false" sqref="M2:M13" type="list">
      <formula1>"Pass,Fail,Blocked,Chưa thực hiện"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28"/>
    <col collapsed="false" customWidth="true" hidden="false" outlineLevel="0" max="6" min="6" style="0" width="30"/>
    <col collapsed="false" customWidth="true" hidden="false" outlineLevel="0" max="7" min="7" style="0" width="38"/>
    <col collapsed="false" customWidth="true" hidden="false" outlineLevel="0" max="8" min="8" style="0" width="46"/>
    <col collapsed="false" customWidth="true" hidden="false" outlineLevel="0" max="9" min="9" style="0" width="11"/>
    <col collapsed="false" customWidth="true" hidden="false" outlineLevel="0" max="11" min="10" style="0" width="12"/>
    <col collapsed="false" customWidth="true" hidden="false" outlineLevel="0" max="12" min="12" style="0" width="26"/>
    <col collapsed="false" customWidth="true" hidden="false" outlineLevel="0" max="14" min="13" style="0" width="14"/>
    <col collapsed="false" customWidth="true" hidden="false" outlineLevel="0" max="15" min="15" style="0" width="13"/>
    <col collapsed="false" customWidth="true" hidden="false" outlineLevel="0" max="16" min="16" style="0" width="20"/>
  </cols>
  <sheetData>
    <row r="1" customFormat="false" ht="31.5" hidden="false" customHeight="true" outlineLevel="0" collapsed="false">
      <c r="A1" s="5" t="s">
        <v>60</v>
      </c>
      <c r="B1" s="5" t="s">
        <v>6</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customFormat="false" ht="37.3" hidden="false" customHeight="false" outlineLevel="0" collapsed="false">
      <c r="A2" s="6" t="s">
        <v>659</v>
      </c>
      <c r="B2" s="7" t="s">
        <v>23</v>
      </c>
      <c r="C2" s="6" t="s">
        <v>660</v>
      </c>
      <c r="D2" s="7" t="s">
        <v>661</v>
      </c>
      <c r="E2" s="7" t="s">
        <v>662</v>
      </c>
      <c r="F2" s="7" t="s">
        <v>663</v>
      </c>
      <c r="G2" s="7" t="s">
        <v>664</v>
      </c>
      <c r="H2" s="7" t="s">
        <v>665</v>
      </c>
      <c r="I2" s="20" t="s">
        <v>46</v>
      </c>
      <c r="J2" s="6" t="s">
        <v>77</v>
      </c>
      <c r="K2" s="6" t="s">
        <v>115</v>
      </c>
      <c r="L2" s="7" t="s">
        <v>666</v>
      </c>
      <c r="M2" s="21" t="s">
        <v>9</v>
      </c>
      <c r="N2" s="7" t="s">
        <v>117</v>
      </c>
      <c r="O2" s="6" t="s">
        <v>118</v>
      </c>
      <c r="P2" s="7"/>
    </row>
    <row r="3" customFormat="false" ht="49.25" hidden="false" customHeight="false" outlineLevel="0" collapsed="false">
      <c r="A3" s="6" t="s">
        <v>667</v>
      </c>
      <c r="B3" s="7" t="s">
        <v>23</v>
      </c>
      <c r="C3" s="6" t="s">
        <v>660</v>
      </c>
      <c r="D3" s="7" t="s">
        <v>668</v>
      </c>
      <c r="E3" s="7" t="s">
        <v>669</v>
      </c>
      <c r="F3" s="7" t="s">
        <v>670</v>
      </c>
      <c r="G3" s="7" t="s">
        <v>671</v>
      </c>
      <c r="H3" s="7" t="s">
        <v>672</v>
      </c>
      <c r="I3" s="25" t="s">
        <v>48</v>
      </c>
      <c r="J3" s="6" t="s">
        <v>77</v>
      </c>
      <c r="K3" s="6" t="s">
        <v>115</v>
      </c>
      <c r="L3" s="7" t="s">
        <v>673</v>
      </c>
      <c r="M3" s="21" t="s">
        <v>9</v>
      </c>
      <c r="N3" s="7" t="s">
        <v>117</v>
      </c>
      <c r="O3" s="6" t="s">
        <v>118</v>
      </c>
      <c r="P3" s="7"/>
    </row>
    <row r="4" customFormat="false" ht="25.35" hidden="false" customHeight="false" outlineLevel="0" collapsed="false">
      <c r="A4" s="6" t="s">
        <v>674</v>
      </c>
      <c r="B4" s="7" t="s">
        <v>23</v>
      </c>
      <c r="C4" s="6" t="s">
        <v>660</v>
      </c>
      <c r="D4" s="7" t="s">
        <v>675</v>
      </c>
      <c r="E4" s="7" t="s">
        <v>676</v>
      </c>
      <c r="F4" s="7" t="s">
        <v>677</v>
      </c>
      <c r="G4" s="7" t="s">
        <v>678</v>
      </c>
      <c r="H4" s="7" t="s">
        <v>679</v>
      </c>
      <c r="I4" s="24" t="s">
        <v>49</v>
      </c>
      <c r="J4" s="6" t="s">
        <v>77</v>
      </c>
      <c r="K4" s="6" t="s">
        <v>115</v>
      </c>
      <c r="L4" s="7" t="s">
        <v>680</v>
      </c>
      <c r="M4" s="21" t="s">
        <v>9</v>
      </c>
      <c r="N4" s="7" t="s">
        <v>117</v>
      </c>
      <c r="O4" s="6" t="s">
        <v>118</v>
      </c>
      <c r="P4" s="7"/>
    </row>
    <row r="5" customFormat="false" ht="49.25" hidden="false" customHeight="false" outlineLevel="0" collapsed="false">
      <c r="A5" s="6" t="s">
        <v>681</v>
      </c>
      <c r="B5" s="7" t="s">
        <v>23</v>
      </c>
      <c r="C5" s="6" t="s">
        <v>660</v>
      </c>
      <c r="D5" s="7" t="s">
        <v>682</v>
      </c>
      <c r="E5" s="7" t="s">
        <v>683</v>
      </c>
      <c r="F5" s="7" t="s">
        <v>684</v>
      </c>
      <c r="G5" s="7" t="s">
        <v>685</v>
      </c>
      <c r="H5" s="7" t="s">
        <v>686</v>
      </c>
      <c r="I5" s="20" t="s">
        <v>46</v>
      </c>
      <c r="J5" s="6" t="s">
        <v>77</v>
      </c>
      <c r="K5" s="6" t="s">
        <v>115</v>
      </c>
      <c r="L5" s="7" t="s">
        <v>687</v>
      </c>
      <c r="M5" s="21" t="s">
        <v>9</v>
      </c>
      <c r="N5" s="7" t="s">
        <v>117</v>
      </c>
      <c r="O5" s="6" t="s">
        <v>118</v>
      </c>
      <c r="P5" s="7" t="s">
        <v>308</v>
      </c>
    </row>
    <row r="6" customFormat="false" ht="25.35" hidden="false" customHeight="false" outlineLevel="0" collapsed="false">
      <c r="A6" s="6" t="s">
        <v>688</v>
      </c>
      <c r="B6" s="7" t="s">
        <v>23</v>
      </c>
      <c r="C6" s="6" t="s">
        <v>660</v>
      </c>
      <c r="D6" s="7" t="s">
        <v>689</v>
      </c>
      <c r="E6" s="7" t="s">
        <v>669</v>
      </c>
      <c r="F6" s="7" t="s">
        <v>690</v>
      </c>
      <c r="G6" s="7" t="s">
        <v>691</v>
      </c>
      <c r="H6" s="7" t="s">
        <v>692</v>
      </c>
      <c r="I6" s="20" t="s">
        <v>46</v>
      </c>
      <c r="J6" s="6" t="s">
        <v>82</v>
      </c>
      <c r="K6" s="6" t="s">
        <v>115</v>
      </c>
      <c r="L6" s="7" t="s">
        <v>693</v>
      </c>
      <c r="M6" s="21" t="s">
        <v>9</v>
      </c>
      <c r="N6" s="7" t="s">
        <v>117</v>
      </c>
      <c r="O6" s="6" t="s">
        <v>118</v>
      </c>
      <c r="P6" s="7"/>
    </row>
    <row r="7" customFormat="false" ht="25.35" hidden="false" customHeight="false" outlineLevel="0" collapsed="false">
      <c r="A7" s="6" t="s">
        <v>694</v>
      </c>
      <c r="B7" s="7" t="s">
        <v>23</v>
      </c>
      <c r="C7" s="6" t="s">
        <v>660</v>
      </c>
      <c r="D7" s="7" t="s">
        <v>695</v>
      </c>
      <c r="E7" s="7" t="s">
        <v>398</v>
      </c>
      <c r="F7" s="7" t="s">
        <v>399</v>
      </c>
      <c r="G7" s="7" t="s">
        <v>678</v>
      </c>
      <c r="H7" s="7" t="s">
        <v>696</v>
      </c>
      <c r="I7" s="24" t="s">
        <v>49</v>
      </c>
      <c r="J7" s="6" t="s">
        <v>77</v>
      </c>
      <c r="K7" s="6" t="s">
        <v>115</v>
      </c>
      <c r="L7" s="7" t="s">
        <v>697</v>
      </c>
      <c r="M7" s="21" t="s">
        <v>9</v>
      </c>
      <c r="N7" s="7" t="s">
        <v>117</v>
      </c>
      <c r="O7" s="6" t="s">
        <v>118</v>
      </c>
      <c r="P7" s="7"/>
    </row>
    <row r="8" customFormat="false" ht="49.25" hidden="false" customHeight="false" outlineLevel="0" collapsed="false">
      <c r="A8" s="6" t="s">
        <v>698</v>
      </c>
      <c r="B8" s="7" t="s">
        <v>23</v>
      </c>
      <c r="C8" s="6" t="s">
        <v>660</v>
      </c>
      <c r="D8" s="7" t="s">
        <v>699</v>
      </c>
      <c r="E8" s="7" t="s">
        <v>700</v>
      </c>
      <c r="F8" s="7" t="s">
        <v>701</v>
      </c>
      <c r="G8" s="7" t="s">
        <v>702</v>
      </c>
      <c r="H8" s="7" t="s">
        <v>703</v>
      </c>
      <c r="I8" s="20" t="s">
        <v>46</v>
      </c>
      <c r="J8" s="6" t="s">
        <v>82</v>
      </c>
      <c r="K8" s="6" t="s">
        <v>115</v>
      </c>
      <c r="L8" s="7" t="s">
        <v>704</v>
      </c>
      <c r="M8" s="21" t="s">
        <v>9</v>
      </c>
      <c r="N8" s="7" t="s">
        <v>117</v>
      </c>
      <c r="O8" s="6" t="s">
        <v>118</v>
      </c>
      <c r="P8" s="7" t="s">
        <v>308</v>
      </c>
    </row>
    <row r="9" customFormat="false" ht="73.1" hidden="false" customHeight="false" outlineLevel="0" collapsed="false">
      <c r="A9" s="6" t="s">
        <v>705</v>
      </c>
      <c r="B9" s="7" t="s">
        <v>23</v>
      </c>
      <c r="C9" s="6" t="s">
        <v>660</v>
      </c>
      <c r="D9" s="7" t="s">
        <v>706</v>
      </c>
      <c r="E9" s="7" t="s">
        <v>707</v>
      </c>
      <c r="F9" s="7" t="s">
        <v>708</v>
      </c>
      <c r="G9" s="7" t="s">
        <v>709</v>
      </c>
      <c r="H9" s="7" t="s">
        <v>710</v>
      </c>
      <c r="I9" s="22" t="s">
        <v>47</v>
      </c>
      <c r="J9" s="6" t="s">
        <v>77</v>
      </c>
      <c r="K9" s="6" t="s">
        <v>57</v>
      </c>
      <c r="L9" s="7" t="s">
        <v>711</v>
      </c>
      <c r="M9" s="21" t="s">
        <v>9</v>
      </c>
      <c r="N9" s="7" t="s">
        <v>117</v>
      </c>
      <c r="O9" s="6" t="s">
        <v>118</v>
      </c>
      <c r="P9" s="7" t="s">
        <v>712</v>
      </c>
    </row>
  </sheetData>
  <autoFilter ref="A1:P9"/>
  <dataValidations count="1">
    <dataValidation allowBlank="true" errorStyle="stop" operator="between" showDropDown="false" showErrorMessage="false" showInputMessage="false" sqref="M2:M9" type="list">
      <formula1>"Pass,Fail,Blocked,Chưa thực hiện"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28"/>
    <col collapsed="false" customWidth="true" hidden="false" outlineLevel="0" max="6" min="6" style="0" width="30"/>
    <col collapsed="false" customWidth="true" hidden="false" outlineLevel="0" max="7" min="7" style="0" width="38"/>
    <col collapsed="false" customWidth="true" hidden="false" outlineLevel="0" max="8" min="8" style="0" width="46"/>
    <col collapsed="false" customWidth="true" hidden="false" outlineLevel="0" max="9" min="9" style="0" width="11"/>
    <col collapsed="false" customWidth="true" hidden="false" outlineLevel="0" max="11" min="10" style="0" width="12"/>
    <col collapsed="false" customWidth="true" hidden="false" outlineLevel="0" max="12" min="12" style="0" width="26"/>
    <col collapsed="false" customWidth="true" hidden="false" outlineLevel="0" max="14" min="13" style="0" width="14"/>
    <col collapsed="false" customWidth="true" hidden="false" outlineLevel="0" max="15" min="15" style="0" width="13"/>
    <col collapsed="false" customWidth="true" hidden="false" outlineLevel="0" max="16" min="16" style="0" width="20"/>
  </cols>
  <sheetData>
    <row r="1" customFormat="false" ht="31.5" hidden="false" customHeight="true" outlineLevel="0" collapsed="false">
      <c r="A1" s="5" t="s">
        <v>60</v>
      </c>
      <c r="B1" s="5" t="s">
        <v>6</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customFormat="false" ht="37.3" hidden="false" customHeight="false" outlineLevel="0" collapsed="false">
      <c r="A2" s="6" t="s">
        <v>713</v>
      </c>
      <c r="B2" s="7" t="s">
        <v>25</v>
      </c>
      <c r="C2" s="6" t="s">
        <v>714</v>
      </c>
      <c r="D2" s="7" t="s">
        <v>715</v>
      </c>
      <c r="E2" s="7" t="s">
        <v>716</v>
      </c>
      <c r="F2" s="7" t="s">
        <v>533</v>
      </c>
      <c r="G2" s="7" t="s">
        <v>717</v>
      </c>
      <c r="H2" s="7" t="s">
        <v>718</v>
      </c>
      <c r="I2" s="20" t="s">
        <v>46</v>
      </c>
      <c r="J2" s="6" t="s">
        <v>77</v>
      </c>
      <c r="K2" s="6" t="s">
        <v>115</v>
      </c>
      <c r="L2" s="7" t="s">
        <v>719</v>
      </c>
      <c r="M2" s="21" t="s">
        <v>9</v>
      </c>
      <c r="N2" s="7" t="s">
        <v>117</v>
      </c>
      <c r="O2" s="6" t="s">
        <v>118</v>
      </c>
      <c r="P2" s="7"/>
    </row>
    <row r="3" customFormat="false" ht="85.05" hidden="false" customHeight="false" outlineLevel="0" collapsed="false">
      <c r="A3" s="6" t="s">
        <v>720</v>
      </c>
      <c r="B3" s="7" t="s">
        <v>25</v>
      </c>
      <c r="C3" s="6" t="s">
        <v>714</v>
      </c>
      <c r="D3" s="7" t="s">
        <v>721</v>
      </c>
      <c r="E3" s="7" t="s">
        <v>722</v>
      </c>
      <c r="F3" s="7" t="s">
        <v>723</v>
      </c>
      <c r="G3" s="7" t="s">
        <v>724</v>
      </c>
      <c r="H3" s="7" t="s">
        <v>725</v>
      </c>
      <c r="I3" s="20" t="s">
        <v>46</v>
      </c>
      <c r="J3" s="6" t="s">
        <v>77</v>
      </c>
      <c r="K3" s="6" t="s">
        <v>115</v>
      </c>
      <c r="L3" s="7" t="s">
        <v>726</v>
      </c>
      <c r="M3" s="21" t="s">
        <v>9</v>
      </c>
      <c r="N3" s="7" t="s">
        <v>117</v>
      </c>
      <c r="O3" s="6" t="s">
        <v>118</v>
      </c>
      <c r="P3" s="7" t="s">
        <v>186</v>
      </c>
    </row>
    <row r="4" customFormat="false" ht="85.05" hidden="false" customHeight="false" outlineLevel="0" collapsed="false">
      <c r="A4" s="6" t="s">
        <v>727</v>
      </c>
      <c r="B4" s="7" t="s">
        <v>25</v>
      </c>
      <c r="C4" s="6" t="s">
        <v>714</v>
      </c>
      <c r="D4" s="7" t="s">
        <v>728</v>
      </c>
      <c r="E4" s="7" t="s">
        <v>722</v>
      </c>
      <c r="F4" s="7" t="s">
        <v>729</v>
      </c>
      <c r="G4" s="7" t="s">
        <v>730</v>
      </c>
      <c r="H4" s="7" t="s">
        <v>731</v>
      </c>
      <c r="I4" s="20" t="s">
        <v>46</v>
      </c>
      <c r="J4" s="6" t="s">
        <v>77</v>
      </c>
      <c r="K4" s="6" t="s">
        <v>57</v>
      </c>
      <c r="L4" s="7" t="s">
        <v>732</v>
      </c>
      <c r="M4" s="6" t="s">
        <v>12</v>
      </c>
      <c r="N4" s="7"/>
      <c r="O4" s="6"/>
      <c r="P4" s="7" t="s">
        <v>528</v>
      </c>
    </row>
    <row r="5" customFormat="false" ht="49.25" hidden="false" customHeight="false" outlineLevel="0" collapsed="false">
      <c r="A5" s="6" t="s">
        <v>733</v>
      </c>
      <c r="B5" s="7" t="s">
        <v>25</v>
      </c>
      <c r="C5" s="6" t="s">
        <v>714</v>
      </c>
      <c r="D5" s="7" t="s">
        <v>734</v>
      </c>
      <c r="E5" s="7" t="s">
        <v>735</v>
      </c>
      <c r="F5" s="7" t="s">
        <v>736</v>
      </c>
      <c r="G5" s="7" t="s">
        <v>737</v>
      </c>
      <c r="H5" s="7" t="s">
        <v>738</v>
      </c>
      <c r="I5" s="20" t="s">
        <v>46</v>
      </c>
      <c r="J5" s="6" t="s">
        <v>77</v>
      </c>
      <c r="K5" s="6" t="s">
        <v>57</v>
      </c>
      <c r="L5" s="7" t="s">
        <v>432</v>
      </c>
      <c r="M5" s="6" t="s">
        <v>12</v>
      </c>
      <c r="N5" s="7"/>
      <c r="O5" s="6"/>
      <c r="P5" s="7" t="s">
        <v>528</v>
      </c>
    </row>
    <row r="6" customFormat="false" ht="49.25" hidden="false" customHeight="false" outlineLevel="0" collapsed="false">
      <c r="A6" s="6" t="s">
        <v>739</v>
      </c>
      <c r="B6" s="7" t="s">
        <v>25</v>
      </c>
      <c r="C6" s="6" t="s">
        <v>714</v>
      </c>
      <c r="D6" s="7" t="s">
        <v>740</v>
      </c>
      <c r="E6" s="7" t="s">
        <v>741</v>
      </c>
      <c r="F6" s="7" t="s">
        <v>742</v>
      </c>
      <c r="G6" s="7" t="s">
        <v>743</v>
      </c>
      <c r="H6" s="7" t="s">
        <v>744</v>
      </c>
      <c r="I6" s="24" t="s">
        <v>49</v>
      </c>
      <c r="J6" s="6" t="s">
        <v>82</v>
      </c>
      <c r="K6" s="6" t="s">
        <v>57</v>
      </c>
      <c r="L6" s="7" t="s">
        <v>432</v>
      </c>
      <c r="M6" s="6" t="s">
        <v>12</v>
      </c>
      <c r="N6" s="7"/>
      <c r="O6" s="6"/>
      <c r="P6" s="7" t="s">
        <v>528</v>
      </c>
    </row>
    <row r="7" customFormat="false" ht="49.25" hidden="false" customHeight="false" outlineLevel="0" collapsed="false">
      <c r="A7" s="6" t="s">
        <v>745</v>
      </c>
      <c r="B7" s="7" t="s">
        <v>25</v>
      </c>
      <c r="C7" s="6" t="s">
        <v>714</v>
      </c>
      <c r="D7" s="7" t="s">
        <v>746</v>
      </c>
      <c r="E7" s="7" t="s">
        <v>741</v>
      </c>
      <c r="F7" s="7" t="s">
        <v>747</v>
      </c>
      <c r="G7" s="7" t="s">
        <v>748</v>
      </c>
      <c r="H7" s="7" t="s">
        <v>749</v>
      </c>
      <c r="I7" s="22" t="s">
        <v>47</v>
      </c>
      <c r="J7" s="6" t="s">
        <v>82</v>
      </c>
      <c r="K7" s="6" t="s">
        <v>57</v>
      </c>
      <c r="L7" s="7" t="s">
        <v>432</v>
      </c>
      <c r="M7" s="6" t="s">
        <v>12</v>
      </c>
      <c r="N7" s="7"/>
      <c r="O7" s="6"/>
      <c r="P7" s="7" t="s">
        <v>528</v>
      </c>
    </row>
    <row r="8" customFormat="false" ht="49.25" hidden="false" customHeight="false" outlineLevel="0" collapsed="false">
      <c r="A8" s="6" t="s">
        <v>750</v>
      </c>
      <c r="B8" s="7" t="s">
        <v>25</v>
      </c>
      <c r="C8" s="6" t="s">
        <v>714</v>
      </c>
      <c r="D8" s="7" t="s">
        <v>751</v>
      </c>
      <c r="E8" s="7" t="s">
        <v>752</v>
      </c>
      <c r="F8" s="7" t="s">
        <v>753</v>
      </c>
      <c r="G8" s="7" t="s">
        <v>754</v>
      </c>
      <c r="H8" s="7" t="s">
        <v>755</v>
      </c>
      <c r="I8" s="20" t="s">
        <v>46</v>
      </c>
      <c r="J8" s="6" t="s">
        <v>77</v>
      </c>
      <c r="K8" s="6" t="s">
        <v>115</v>
      </c>
      <c r="L8" s="7" t="s">
        <v>756</v>
      </c>
      <c r="M8" s="21" t="s">
        <v>9</v>
      </c>
      <c r="N8" s="7" t="s">
        <v>117</v>
      </c>
      <c r="O8" s="6" t="s">
        <v>118</v>
      </c>
      <c r="P8" s="7" t="s">
        <v>308</v>
      </c>
    </row>
    <row r="9" customFormat="false" ht="49.25" hidden="false" customHeight="false" outlineLevel="0" collapsed="false">
      <c r="A9" s="6" t="s">
        <v>757</v>
      </c>
      <c r="B9" s="7" t="s">
        <v>25</v>
      </c>
      <c r="C9" s="6" t="s">
        <v>714</v>
      </c>
      <c r="D9" s="7" t="s">
        <v>758</v>
      </c>
      <c r="E9" s="7" t="s">
        <v>759</v>
      </c>
      <c r="F9" s="7" t="s">
        <v>760</v>
      </c>
      <c r="G9" s="7" t="s">
        <v>761</v>
      </c>
      <c r="H9" s="7" t="s">
        <v>762</v>
      </c>
      <c r="I9" s="20" t="s">
        <v>46</v>
      </c>
      <c r="J9" s="6" t="s">
        <v>82</v>
      </c>
      <c r="K9" s="6" t="s">
        <v>115</v>
      </c>
      <c r="L9" s="7" t="s">
        <v>763</v>
      </c>
      <c r="M9" s="21" t="s">
        <v>9</v>
      </c>
      <c r="N9" s="7" t="s">
        <v>117</v>
      </c>
      <c r="O9" s="6" t="s">
        <v>118</v>
      </c>
      <c r="P9" s="7" t="s">
        <v>264</v>
      </c>
    </row>
    <row r="10" customFormat="false" ht="49.25" hidden="false" customHeight="false" outlineLevel="0" collapsed="false">
      <c r="A10" s="6" t="s">
        <v>65</v>
      </c>
      <c r="B10" s="7" t="s">
        <v>25</v>
      </c>
      <c r="C10" s="6" t="s">
        <v>714</v>
      </c>
      <c r="D10" s="7" t="s">
        <v>764</v>
      </c>
      <c r="E10" s="7" t="s">
        <v>765</v>
      </c>
      <c r="F10" s="7" t="s">
        <v>766</v>
      </c>
      <c r="G10" s="7" t="s">
        <v>767</v>
      </c>
      <c r="H10" s="7" t="s">
        <v>768</v>
      </c>
      <c r="I10" s="24" t="s">
        <v>49</v>
      </c>
      <c r="J10" s="6" t="s">
        <v>77</v>
      </c>
      <c r="K10" s="6" t="s">
        <v>115</v>
      </c>
      <c r="L10" s="7" t="s">
        <v>769</v>
      </c>
      <c r="M10" s="23" t="s">
        <v>10</v>
      </c>
      <c r="N10" s="7" t="s">
        <v>117</v>
      </c>
      <c r="O10" s="6" t="s">
        <v>118</v>
      </c>
      <c r="P10" s="7" t="s">
        <v>770</v>
      </c>
    </row>
    <row r="11" customFormat="false" ht="49.25" hidden="false" customHeight="false" outlineLevel="0" collapsed="false">
      <c r="A11" s="6" t="s">
        <v>771</v>
      </c>
      <c r="B11" s="7" t="s">
        <v>25</v>
      </c>
      <c r="C11" s="6" t="s">
        <v>772</v>
      </c>
      <c r="D11" s="7" t="s">
        <v>773</v>
      </c>
      <c r="E11" s="7" t="s">
        <v>774</v>
      </c>
      <c r="F11" s="7" t="s">
        <v>775</v>
      </c>
      <c r="G11" s="7" t="s">
        <v>776</v>
      </c>
      <c r="H11" s="7" t="s">
        <v>777</v>
      </c>
      <c r="I11" s="20" t="s">
        <v>46</v>
      </c>
      <c r="J11" s="6" t="s">
        <v>77</v>
      </c>
      <c r="K11" s="6" t="s">
        <v>57</v>
      </c>
      <c r="L11" s="7" t="s">
        <v>778</v>
      </c>
      <c r="M11" s="6" t="s">
        <v>12</v>
      </c>
      <c r="N11" s="7"/>
      <c r="O11" s="6"/>
      <c r="P11" s="7" t="s">
        <v>528</v>
      </c>
    </row>
    <row r="12" customFormat="false" ht="73.1" hidden="false" customHeight="false" outlineLevel="0" collapsed="false">
      <c r="A12" s="6" t="s">
        <v>779</v>
      </c>
      <c r="B12" s="7" t="s">
        <v>25</v>
      </c>
      <c r="C12" s="6" t="s">
        <v>772</v>
      </c>
      <c r="D12" s="7" t="s">
        <v>780</v>
      </c>
      <c r="E12" s="7" t="s">
        <v>781</v>
      </c>
      <c r="F12" s="7" t="s">
        <v>782</v>
      </c>
      <c r="G12" s="7" t="s">
        <v>783</v>
      </c>
      <c r="H12" s="7" t="s">
        <v>784</v>
      </c>
      <c r="I12" s="20" t="s">
        <v>46</v>
      </c>
      <c r="J12" s="6" t="s">
        <v>82</v>
      </c>
      <c r="K12" s="6" t="s">
        <v>115</v>
      </c>
      <c r="L12" s="7" t="s">
        <v>785</v>
      </c>
      <c r="M12" s="21" t="s">
        <v>9</v>
      </c>
      <c r="N12" s="7" t="s">
        <v>117</v>
      </c>
      <c r="O12" s="6" t="s">
        <v>118</v>
      </c>
      <c r="P12" s="7"/>
    </row>
  </sheetData>
  <autoFilter ref="A1:P12"/>
  <dataValidations count="1">
    <dataValidation allowBlank="true" errorStyle="stop" operator="between" showDropDown="false" showErrorMessage="false" showInputMessage="false" sqref="M2:M12" type="list">
      <formula1>"Pass,Fail,Blocked,Chưa thực hiện"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28"/>
    <col collapsed="false" customWidth="true" hidden="false" outlineLevel="0" max="6" min="6" style="0" width="30"/>
    <col collapsed="false" customWidth="true" hidden="false" outlineLevel="0" max="7" min="7" style="0" width="38"/>
    <col collapsed="false" customWidth="true" hidden="false" outlineLevel="0" max="8" min="8" style="0" width="46"/>
    <col collapsed="false" customWidth="true" hidden="false" outlineLevel="0" max="9" min="9" style="0" width="11"/>
    <col collapsed="false" customWidth="true" hidden="false" outlineLevel="0" max="11" min="10" style="0" width="12"/>
    <col collapsed="false" customWidth="true" hidden="false" outlineLevel="0" max="12" min="12" style="0" width="26"/>
    <col collapsed="false" customWidth="true" hidden="false" outlineLevel="0" max="14" min="13" style="0" width="14"/>
    <col collapsed="false" customWidth="true" hidden="false" outlineLevel="0" max="15" min="15" style="0" width="13"/>
    <col collapsed="false" customWidth="true" hidden="false" outlineLevel="0" max="16" min="16" style="0" width="20"/>
  </cols>
  <sheetData>
    <row r="1" customFormat="false" ht="31.5" hidden="false" customHeight="true" outlineLevel="0" collapsed="false">
      <c r="A1" s="5" t="s">
        <v>60</v>
      </c>
      <c r="B1" s="5" t="s">
        <v>6</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customFormat="false" ht="85.05" hidden="false" customHeight="false" outlineLevel="0" collapsed="false">
      <c r="A2" s="6" t="s">
        <v>786</v>
      </c>
      <c r="B2" s="7" t="s">
        <v>27</v>
      </c>
      <c r="C2" s="6" t="s">
        <v>787</v>
      </c>
      <c r="D2" s="7" t="s">
        <v>788</v>
      </c>
      <c r="E2" s="7" t="s">
        <v>789</v>
      </c>
      <c r="F2" s="7" t="s">
        <v>790</v>
      </c>
      <c r="G2" s="7" t="s">
        <v>791</v>
      </c>
      <c r="H2" s="7" t="s">
        <v>792</v>
      </c>
      <c r="I2" s="20" t="s">
        <v>46</v>
      </c>
      <c r="J2" s="6" t="s">
        <v>77</v>
      </c>
      <c r="K2" s="6" t="s">
        <v>57</v>
      </c>
      <c r="L2" s="7" t="s">
        <v>793</v>
      </c>
      <c r="M2" s="21" t="s">
        <v>9</v>
      </c>
      <c r="N2" s="7" t="s">
        <v>117</v>
      </c>
      <c r="O2" s="6" t="s">
        <v>118</v>
      </c>
      <c r="P2" s="7" t="s">
        <v>520</v>
      </c>
    </row>
    <row r="3" customFormat="false" ht="37.3" hidden="false" customHeight="false" outlineLevel="0" collapsed="false">
      <c r="A3" s="6" t="s">
        <v>794</v>
      </c>
      <c r="B3" s="7" t="s">
        <v>27</v>
      </c>
      <c r="C3" s="6" t="s">
        <v>787</v>
      </c>
      <c r="D3" s="7" t="s">
        <v>795</v>
      </c>
      <c r="E3" s="7" t="s">
        <v>252</v>
      </c>
      <c r="F3" s="7" t="s">
        <v>796</v>
      </c>
      <c r="G3" s="7" t="s">
        <v>797</v>
      </c>
      <c r="H3" s="7" t="s">
        <v>798</v>
      </c>
      <c r="I3" s="22" t="s">
        <v>47</v>
      </c>
      <c r="J3" s="6" t="s">
        <v>77</v>
      </c>
      <c r="K3" s="6" t="s">
        <v>115</v>
      </c>
      <c r="L3" s="7" t="s">
        <v>799</v>
      </c>
      <c r="M3" s="21" t="s">
        <v>9</v>
      </c>
      <c r="N3" s="7" t="s">
        <v>117</v>
      </c>
      <c r="O3" s="6" t="s">
        <v>118</v>
      </c>
      <c r="P3" s="7"/>
    </row>
    <row r="4" customFormat="false" ht="37.3" hidden="false" customHeight="false" outlineLevel="0" collapsed="false">
      <c r="A4" s="6" t="s">
        <v>800</v>
      </c>
      <c r="B4" s="7" t="s">
        <v>27</v>
      </c>
      <c r="C4" s="6" t="s">
        <v>787</v>
      </c>
      <c r="D4" s="7" t="s">
        <v>801</v>
      </c>
      <c r="E4" s="7" t="s">
        <v>802</v>
      </c>
      <c r="F4" s="7" t="s">
        <v>803</v>
      </c>
      <c r="G4" s="7" t="s">
        <v>804</v>
      </c>
      <c r="H4" s="7" t="s">
        <v>805</v>
      </c>
      <c r="I4" s="20" t="s">
        <v>46</v>
      </c>
      <c r="J4" s="6" t="s">
        <v>77</v>
      </c>
      <c r="K4" s="6" t="s">
        <v>115</v>
      </c>
      <c r="L4" s="7" t="s">
        <v>806</v>
      </c>
      <c r="M4" s="21" t="s">
        <v>9</v>
      </c>
      <c r="N4" s="7" t="s">
        <v>117</v>
      </c>
      <c r="O4" s="6" t="s">
        <v>118</v>
      </c>
      <c r="P4" s="7"/>
    </row>
    <row r="5" customFormat="false" ht="25.35" hidden="false" customHeight="false" outlineLevel="0" collapsed="false">
      <c r="A5" s="6" t="s">
        <v>807</v>
      </c>
      <c r="B5" s="7" t="s">
        <v>27</v>
      </c>
      <c r="C5" s="6" t="s">
        <v>787</v>
      </c>
      <c r="D5" s="7" t="s">
        <v>808</v>
      </c>
      <c r="E5" s="7" t="s">
        <v>809</v>
      </c>
      <c r="F5" s="7" t="s">
        <v>810</v>
      </c>
      <c r="G5" s="7" t="s">
        <v>811</v>
      </c>
      <c r="H5" s="7" t="s">
        <v>812</v>
      </c>
      <c r="I5" s="20" t="s">
        <v>46</v>
      </c>
      <c r="J5" s="6" t="s">
        <v>77</v>
      </c>
      <c r="K5" s="6" t="s">
        <v>115</v>
      </c>
      <c r="L5" s="7" t="s">
        <v>813</v>
      </c>
      <c r="M5" s="21" t="s">
        <v>9</v>
      </c>
      <c r="N5" s="7" t="s">
        <v>117</v>
      </c>
      <c r="O5" s="6" t="s">
        <v>118</v>
      </c>
      <c r="P5" s="7"/>
    </row>
    <row r="6" customFormat="false" ht="49.25" hidden="false" customHeight="false" outlineLevel="0" collapsed="false">
      <c r="A6" s="6" t="s">
        <v>814</v>
      </c>
      <c r="B6" s="7" t="s">
        <v>27</v>
      </c>
      <c r="C6" s="6" t="s">
        <v>787</v>
      </c>
      <c r="D6" s="7" t="s">
        <v>815</v>
      </c>
      <c r="E6" s="7" t="s">
        <v>816</v>
      </c>
      <c r="F6" s="7" t="s">
        <v>817</v>
      </c>
      <c r="G6" s="7" t="s">
        <v>818</v>
      </c>
      <c r="H6" s="7" t="s">
        <v>819</v>
      </c>
      <c r="I6" s="20" t="s">
        <v>46</v>
      </c>
      <c r="J6" s="6" t="s">
        <v>77</v>
      </c>
      <c r="K6" s="6" t="s">
        <v>57</v>
      </c>
      <c r="L6" s="7" t="s">
        <v>820</v>
      </c>
      <c r="M6" s="21" t="s">
        <v>9</v>
      </c>
      <c r="N6" s="7" t="s">
        <v>117</v>
      </c>
      <c r="O6" s="6" t="s">
        <v>118</v>
      </c>
      <c r="P6" s="7" t="s">
        <v>520</v>
      </c>
    </row>
    <row r="7" customFormat="false" ht="61.15" hidden="false" customHeight="false" outlineLevel="0" collapsed="false">
      <c r="A7" s="6" t="s">
        <v>821</v>
      </c>
      <c r="B7" s="7" t="s">
        <v>27</v>
      </c>
      <c r="C7" s="6" t="s">
        <v>787</v>
      </c>
      <c r="D7" s="7" t="s">
        <v>822</v>
      </c>
      <c r="E7" s="7" t="s">
        <v>823</v>
      </c>
      <c r="F7" s="7" t="s">
        <v>824</v>
      </c>
      <c r="G7" s="7" t="s">
        <v>825</v>
      </c>
      <c r="H7" s="7" t="s">
        <v>826</v>
      </c>
      <c r="I7" s="22" t="s">
        <v>47</v>
      </c>
      <c r="J7" s="6" t="s">
        <v>77</v>
      </c>
      <c r="K7" s="6" t="s">
        <v>57</v>
      </c>
      <c r="L7" s="7" t="s">
        <v>827</v>
      </c>
      <c r="M7" s="6" t="s">
        <v>12</v>
      </c>
      <c r="N7" s="7"/>
      <c r="O7" s="6"/>
      <c r="P7" s="7" t="s">
        <v>828</v>
      </c>
    </row>
    <row r="8" customFormat="false" ht="73.1" hidden="false" customHeight="false" outlineLevel="0" collapsed="false">
      <c r="A8" s="6" t="s">
        <v>829</v>
      </c>
      <c r="B8" s="7" t="s">
        <v>27</v>
      </c>
      <c r="C8" s="6" t="s">
        <v>787</v>
      </c>
      <c r="D8" s="7" t="s">
        <v>830</v>
      </c>
      <c r="E8" s="7" t="s">
        <v>831</v>
      </c>
      <c r="F8" s="7" t="s">
        <v>832</v>
      </c>
      <c r="G8" s="7" t="s">
        <v>833</v>
      </c>
      <c r="H8" s="7" t="s">
        <v>834</v>
      </c>
      <c r="I8" s="22" t="s">
        <v>47</v>
      </c>
      <c r="J8" s="6" t="s">
        <v>77</v>
      </c>
      <c r="K8" s="6" t="s">
        <v>57</v>
      </c>
      <c r="L8" s="7" t="s">
        <v>835</v>
      </c>
      <c r="M8" s="21" t="s">
        <v>9</v>
      </c>
      <c r="N8" s="7" t="s">
        <v>117</v>
      </c>
      <c r="O8" s="6" t="s">
        <v>118</v>
      </c>
      <c r="P8" s="7" t="s">
        <v>836</v>
      </c>
    </row>
    <row r="9" customFormat="false" ht="97" hidden="false" customHeight="false" outlineLevel="0" collapsed="false">
      <c r="A9" s="6" t="s">
        <v>84</v>
      </c>
      <c r="B9" s="7" t="s">
        <v>27</v>
      </c>
      <c r="C9" s="6" t="s">
        <v>787</v>
      </c>
      <c r="D9" s="7" t="s">
        <v>837</v>
      </c>
      <c r="E9" s="7" t="s">
        <v>838</v>
      </c>
      <c r="F9" s="7" t="s">
        <v>839</v>
      </c>
      <c r="G9" s="7" t="s">
        <v>840</v>
      </c>
      <c r="H9" s="7" t="s">
        <v>841</v>
      </c>
      <c r="I9" s="20" t="s">
        <v>46</v>
      </c>
      <c r="J9" s="6" t="s">
        <v>77</v>
      </c>
      <c r="K9" s="6" t="s">
        <v>57</v>
      </c>
      <c r="L9" s="7" t="s">
        <v>842</v>
      </c>
      <c r="M9" s="23" t="s">
        <v>10</v>
      </c>
      <c r="N9" s="7" t="s">
        <v>843</v>
      </c>
      <c r="O9" s="6" t="s">
        <v>118</v>
      </c>
      <c r="P9" s="7" t="s">
        <v>844</v>
      </c>
    </row>
    <row r="10" customFormat="false" ht="61.15" hidden="false" customHeight="false" outlineLevel="0" collapsed="false">
      <c r="A10" s="6" t="s">
        <v>845</v>
      </c>
      <c r="B10" s="7" t="s">
        <v>27</v>
      </c>
      <c r="C10" s="6" t="s">
        <v>787</v>
      </c>
      <c r="D10" s="7" t="s">
        <v>846</v>
      </c>
      <c r="E10" s="7" t="s">
        <v>847</v>
      </c>
      <c r="F10" s="7" t="s">
        <v>848</v>
      </c>
      <c r="G10" s="7" t="s">
        <v>849</v>
      </c>
      <c r="H10" s="7" t="s">
        <v>850</v>
      </c>
      <c r="I10" s="20" t="s">
        <v>46</v>
      </c>
      <c r="J10" s="6" t="s">
        <v>82</v>
      </c>
      <c r="K10" s="6" t="s">
        <v>115</v>
      </c>
      <c r="L10" s="7" t="s">
        <v>851</v>
      </c>
      <c r="M10" s="21" t="s">
        <v>9</v>
      </c>
      <c r="N10" s="7" t="s">
        <v>117</v>
      </c>
      <c r="O10" s="6" t="s">
        <v>118</v>
      </c>
      <c r="P10" s="7" t="s">
        <v>852</v>
      </c>
    </row>
    <row r="11" customFormat="false" ht="61.15" hidden="false" customHeight="false" outlineLevel="0" collapsed="false">
      <c r="A11" s="6" t="s">
        <v>853</v>
      </c>
      <c r="B11" s="7" t="s">
        <v>27</v>
      </c>
      <c r="C11" s="6" t="s">
        <v>787</v>
      </c>
      <c r="D11" s="7" t="s">
        <v>854</v>
      </c>
      <c r="E11" s="7" t="s">
        <v>855</v>
      </c>
      <c r="F11" s="7" t="s">
        <v>533</v>
      </c>
      <c r="G11" s="7" t="s">
        <v>856</v>
      </c>
      <c r="H11" s="7" t="s">
        <v>857</v>
      </c>
      <c r="I11" s="20" t="s">
        <v>46</v>
      </c>
      <c r="J11" s="6" t="s">
        <v>82</v>
      </c>
      <c r="K11" s="6" t="s">
        <v>115</v>
      </c>
      <c r="L11" s="7" t="s">
        <v>858</v>
      </c>
      <c r="M11" s="21" t="s">
        <v>9</v>
      </c>
      <c r="N11" s="7" t="s">
        <v>117</v>
      </c>
      <c r="O11" s="6" t="s">
        <v>118</v>
      </c>
      <c r="P11" s="7"/>
    </row>
  </sheetData>
  <autoFilter ref="A1:P11"/>
  <dataValidations count="1">
    <dataValidation allowBlank="true" errorStyle="stop" operator="between" showDropDown="false" showErrorMessage="false" showInputMessage="false" sqref="M2:M11" type="list">
      <formula1>"Pass,Fail,Blocked,Chưa thực hiện"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28"/>
    <col collapsed="false" customWidth="true" hidden="false" outlineLevel="0" max="6" min="6" style="0" width="30"/>
    <col collapsed="false" customWidth="true" hidden="false" outlineLevel="0" max="7" min="7" style="0" width="38"/>
    <col collapsed="false" customWidth="true" hidden="false" outlineLevel="0" max="8" min="8" style="0" width="46"/>
    <col collapsed="false" customWidth="true" hidden="false" outlineLevel="0" max="9" min="9" style="0" width="11"/>
    <col collapsed="false" customWidth="true" hidden="false" outlineLevel="0" max="11" min="10" style="0" width="12"/>
    <col collapsed="false" customWidth="true" hidden="false" outlineLevel="0" max="12" min="12" style="0" width="26"/>
    <col collapsed="false" customWidth="true" hidden="false" outlineLevel="0" max="14" min="13" style="0" width="14"/>
    <col collapsed="false" customWidth="true" hidden="false" outlineLevel="0" max="15" min="15" style="0" width="13"/>
    <col collapsed="false" customWidth="true" hidden="false" outlineLevel="0" max="16" min="16" style="0" width="20"/>
  </cols>
  <sheetData>
    <row r="1" customFormat="false" ht="31.5" hidden="false" customHeight="true" outlineLevel="0" collapsed="false">
      <c r="A1" s="5" t="s">
        <v>60</v>
      </c>
      <c r="B1" s="5" t="s">
        <v>6</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customFormat="false" ht="37.3" hidden="false" customHeight="false" outlineLevel="0" collapsed="false">
      <c r="A2" s="6" t="s">
        <v>859</v>
      </c>
      <c r="B2" s="7" t="s">
        <v>29</v>
      </c>
      <c r="C2" s="6" t="s">
        <v>860</v>
      </c>
      <c r="D2" s="7" t="s">
        <v>861</v>
      </c>
      <c r="E2" s="7" t="s">
        <v>862</v>
      </c>
      <c r="F2" s="7" t="s">
        <v>863</v>
      </c>
      <c r="G2" s="7" t="s">
        <v>864</v>
      </c>
      <c r="H2" s="7" t="s">
        <v>865</v>
      </c>
      <c r="I2" s="20" t="s">
        <v>46</v>
      </c>
      <c r="J2" s="6" t="s">
        <v>77</v>
      </c>
      <c r="K2" s="6" t="s">
        <v>115</v>
      </c>
      <c r="L2" s="7" t="s">
        <v>866</v>
      </c>
      <c r="M2" s="21" t="s">
        <v>9</v>
      </c>
      <c r="N2" s="7" t="s">
        <v>117</v>
      </c>
      <c r="O2" s="6" t="s">
        <v>118</v>
      </c>
      <c r="P2" s="7"/>
    </row>
    <row r="3" customFormat="false" ht="25.35" hidden="false" customHeight="false" outlineLevel="0" collapsed="false">
      <c r="A3" s="6" t="s">
        <v>867</v>
      </c>
      <c r="B3" s="7" t="s">
        <v>29</v>
      </c>
      <c r="C3" s="6" t="s">
        <v>860</v>
      </c>
      <c r="D3" s="7" t="s">
        <v>868</v>
      </c>
      <c r="E3" s="7" t="s">
        <v>869</v>
      </c>
      <c r="F3" s="7" t="s">
        <v>863</v>
      </c>
      <c r="G3" s="7" t="s">
        <v>870</v>
      </c>
      <c r="H3" s="7" t="s">
        <v>871</v>
      </c>
      <c r="I3" s="22" t="s">
        <v>47</v>
      </c>
      <c r="J3" s="6" t="s">
        <v>77</v>
      </c>
      <c r="K3" s="6" t="s">
        <v>115</v>
      </c>
      <c r="L3" s="7" t="s">
        <v>872</v>
      </c>
      <c r="M3" s="21" t="s">
        <v>9</v>
      </c>
      <c r="N3" s="7" t="s">
        <v>117</v>
      </c>
      <c r="O3" s="6" t="s">
        <v>118</v>
      </c>
      <c r="P3" s="7"/>
    </row>
    <row r="4" customFormat="false" ht="25.35" hidden="false" customHeight="false" outlineLevel="0" collapsed="false">
      <c r="A4" s="6" t="s">
        <v>873</v>
      </c>
      <c r="B4" s="7" t="s">
        <v>29</v>
      </c>
      <c r="C4" s="6" t="s">
        <v>860</v>
      </c>
      <c r="D4" s="7" t="s">
        <v>874</v>
      </c>
      <c r="E4" s="7" t="s">
        <v>875</v>
      </c>
      <c r="F4" s="7" t="s">
        <v>876</v>
      </c>
      <c r="G4" s="7" t="s">
        <v>877</v>
      </c>
      <c r="H4" s="7" t="s">
        <v>878</v>
      </c>
      <c r="I4" s="24" t="s">
        <v>49</v>
      </c>
      <c r="J4" s="6" t="s">
        <v>77</v>
      </c>
      <c r="K4" s="6" t="s">
        <v>115</v>
      </c>
      <c r="L4" s="7" t="s">
        <v>879</v>
      </c>
      <c r="M4" s="21" t="s">
        <v>9</v>
      </c>
      <c r="N4" s="7" t="s">
        <v>117</v>
      </c>
      <c r="O4" s="6" t="s">
        <v>118</v>
      </c>
      <c r="P4" s="7"/>
    </row>
    <row r="5" customFormat="false" ht="97" hidden="false" customHeight="false" outlineLevel="0" collapsed="false">
      <c r="A5" s="6" t="s">
        <v>880</v>
      </c>
      <c r="B5" s="7" t="s">
        <v>29</v>
      </c>
      <c r="C5" s="6" t="s">
        <v>860</v>
      </c>
      <c r="D5" s="7" t="s">
        <v>881</v>
      </c>
      <c r="E5" s="7" t="s">
        <v>882</v>
      </c>
      <c r="F5" s="7" t="s">
        <v>883</v>
      </c>
      <c r="G5" s="7" t="s">
        <v>884</v>
      </c>
      <c r="H5" s="7" t="s">
        <v>885</v>
      </c>
      <c r="I5" s="24" t="s">
        <v>49</v>
      </c>
      <c r="J5" s="6" t="s">
        <v>77</v>
      </c>
      <c r="K5" s="6" t="s">
        <v>115</v>
      </c>
      <c r="L5" s="7" t="s">
        <v>886</v>
      </c>
      <c r="M5" s="21" t="s">
        <v>9</v>
      </c>
      <c r="N5" s="7" t="s">
        <v>117</v>
      </c>
      <c r="O5" s="6" t="s">
        <v>118</v>
      </c>
      <c r="P5" s="7" t="s">
        <v>551</v>
      </c>
    </row>
    <row r="6" customFormat="false" ht="73.1" hidden="false" customHeight="false" outlineLevel="0" collapsed="false">
      <c r="A6" s="6" t="s">
        <v>887</v>
      </c>
      <c r="B6" s="7" t="s">
        <v>29</v>
      </c>
      <c r="C6" s="6" t="s">
        <v>860</v>
      </c>
      <c r="D6" s="7" t="s">
        <v>888</v>
      </c>
      <c r="E6" s="7" t="s">
        <v>889</v>
      </c>
      <c r="F6" s="7" t="s">
        <v>863</v>
      </c>
      <c r="G6" s="7" t="s">
        <v>890</v>
      </c>
      <c r="H6" s="7" t="s">
        <v>891</v>
      </c>
      <c r="I6" s="20" t="s">
        <v>46</v>
      </c>
      <c r="J6" s="6" t="s">
        <v>77</v>
      </c>
      <c r="K6" s="6" t="s">
        <v>115</v>
      </c>
      <c r="L6" s="7" t="s">
        <v>892</v>
      </c>
      <c r="M6" s="21" t="s">
        <v>9</v>
      </c>
      <c r="N6" s="7" t="s">
        <v>117</v>
      </c>
      <c r="O6" s="6" t="s">
        <v>118</v>
      </c>
      <c r="P6" s="7" t="s">
        <v>308</v>
      </c>
    </row>
    <row r="7" customFormat="false" ht="25.35" hidden="false" customHeight="false" outlineLevel="0" collapsed="false">
      <c r="A7" s="6" t="s">
        <v>893</v>
      </c>
      <c r="B7" s="7" t="s">
        <v>29</v>
      </c>
      <c r="C7" s="6" t="s">
        <v>860</v>
      </c>
      <c r="D7" s="7" t="s">
        <v>894</v>
      </c>
      <c r="E7" s="7" t="s">
        <v>895</v>
      </c>
      <c r="F7" s="7" t="s">
        <v>863</v>
      </c>
      <c r="G7" s="7" t="s">
        <v>896</v>
      </c>
      <c r="H7" s="7" t="s">
        <v>897</v>
      </c>
      <c r="I7" s="22" t="s">
        <v>47</v>
      </c>
      <c r="J7" s="6" t="s">
        <v>77</v>
      </c>
      <c r="K7" s="6" t="s">
        <v>115</v>
      </c>
      <c r="L7" s="7" t="s">
        <v>898</v>
      </c>
      <c r="M7" s="21" t="s">
        <v>9</v>
      </c>
      <c r="N7" s="7" t="s">
        <v>117</v>
      </c>
      <c r="O7" s="6" t="s">
        <v>118</v>
      </c>
      <c r="P7" s="7"/>
    </row>
    <row r="8" customFormat="false" ht="49.25" hidden="false" customHeight="false" outlineLevel="0" collapsed="false">
      <c r="A8" s="6" t="s">
        <v>899</v>
      </c>
      <c r="B8" s="7" t="s">
        <v>29</v>
      </c>
      <c r="C8" s="6" t="s">
        <v>860</v>
      </c>
      <c r="D8" s="7" t="s">
        <v>900</v>
      </c>
      <c r="E8" s="7" t="s">
        <v>901</v>
      </c>
      <c r="F8" s="7" t="s">
        <v>902</v>
      </c>
      <c r="G8" s="7" t="s">
        <v>903</v>
      </c>
      <c r="H8" s="7" t="s">
        <v>904</v>
      </c>
      <c r="I8" s="20" t="s">
        <v>46</v>
      </c>
      <c r="J8" s="6" t="s">
        <v>77</v>
      </c>
      <c r="K8" s="6" t="s">
        <v>115</v>
      </c>
      <c r="L8" s="7" t="s">
        <v>905</v>
      </c>
      <c r="M8" s="21" t="s">
        <v>9</v>
      </c>
      <c r="N8" s="7" t="s">
        <v>117</v>
      </c>
      <c r="O8" s="6" t="s">
        <v>118</v>
      </c>
      <c r="P8" s="7"/>
    </row>
    <row r="9" customFormat="false" ht="73.1" hidden="false" customHeight="false" outlineLevel="0" collapsed="false">
      <c r="A9" s="6" t="s">
        <v>906</v>
      </c>
      <c r="B9" s="7" t="s">
        <v>29</v>
      </c>
      <c r="C9" s="6" t="s">
        <v>907</v>
      </c>
      <c r="D9" s="7" t="s">
        <v>908</v>
      </c>
      <c r="E9" s="7" t="s">
        <v>909</v>
      </c>
      <c r="F9" s="7" t="s">
        <v>910</v>
      </c>
      <c r="G9" s="7" t="s">
        <v>911</v>
      </c>
      <c r="H9" s="7" t="s">
        <v>912</v>
      </c>
      <c r="I9" s="20" t="s">
        <v>46</v>
      </c>
      <c r="J9" s="6" t="s">
        <v>77</v>
      </c>
      <c r="K9" s="6" t="s">
        <v>115</v>
      </c>
      <c r="L9" s="7" t="s">
        <v>913</v>
      </c>
      <c r="M9" s="21" t="s">
        <v>9</v>
      </c>
      <c r="N9" s="7" t="s">
        <v>117</v>
      </c>
      <c r="O9" s="6" t="s">
        <v>118</v>
      </c>
      <c r="P9" s="7"/>
    </row>
    <row r="10" customFormat="false" ht="49.25" hidden="false" customHeight="false" outlineLevel="0" collapsed="false">
      <c r="A10" s="6" t="s">
        <v>914</v>
      </c>
      <c r="B10" s="7" t="s">
        <v>29</v>
      </c>
      <c r="C10" s="6" t="s">
        <v>907</v>
      </c>
      <c r="D10" s="7" t="s">
        <v>915</v>
      </c>
      <c r="E10" s="7" t="s">
        <v>916</v>
      </c>
      <c r="F10" s="7" t="s">
        <v>917</v>
      </c>
      <c r="G10" s="7" t="s">
        <v>918</v>
      </c>
      <c r="H10" s="7" t="s">
        <v>919</v>
      </c>
      <c r="I10" s="22" t="s">
        <v>47</v>
      </c>
      <c r="J10" s="6" t="s">
        <v>77</v>
      </c>
      <c r="K10" s="6" t="s">
        <v>115</v>
      </c>
      <c r="L10" s="7" t="s">
        <v>920</v>
      </c>
      <c r="M10" s="6" t="s">
        <v>12</v>
      </c>
      <c r="N10" s="7"/>
      <c r="O10" s="6"/>
      <c r="P10" s="7" t="s">
        <v>410</v>
      </c>
    </row>
    <row r="11" customFormat="false" ht="73.1" hidden="false" customHeight="false" outlineLevel="0" collapsed="false">
      <c r="A11" s="6" t="s">
        <v>921</v>
      </c>
      <c r="B11" s="7" t="s">
        <v>29</v>
      </c>
      <c r="C11" s="6" t="s">
        <v>907</v>
      </c>
      <c r="D11" s="7" t="s">
        <v>922</v>
      </c>
      <c r="E11" s="7" t="s">
        <v>923</v>
      </c>
      <c r="F11" s="7" t="s">
        <v>924</v>
      </c>
      <c r="G11" s="7" t="s">
        <v>925</v>
      </c>
      <c r="H11" s="7" t="s">
        <v>926</v>
      </c>
      <c r="I11" s="20" t="s">
        <v>46</v>
      </c>
      <c r="J11" s="6" t="s">
        <v>77</v>
      </c>
      <c r="K11" s="6" t="s">
        <v>115</v>
      </c>
      <c r="L11" s="7" t="s">
        <v>927</v>
      </c>
      <c r="M11" s="21" t="s">
        <v>9</v>
      </c>
      <c r="N11" s="7" t="s">
        <v>117</v>
      </c>
      <c r="O11" s="6" t="s">
        <v>118</v>
      </c>
      <c r="P11" s="7" t="s">
        <v>308</v>
      </c>
    </row>
    <row r="12" customFormat="false" ht="49.25" hidden="false" customHeight="false" outlineLevel="0" collapsed="false">
      <c r="A12" s="6" t="s">
        <v>928</v>
      </c>
      <c r="B12" s="7" t="s">
        <v>29</v>
      </c>
      <c r="C12" s="6" t="s">
        <v>929</v>
      </c>
      <c r="D12" s="7" t="s">
        <v>930</v>
      </c>
      <c r="E12" s="7" t="s">
        <v>909</v>
      </c>
      <c r="F12" s="7" t="s">
        <v>931</v>
      </c>
      <c r="G12" s="7" t="s">
        <v>932</v>
      </c>
      <c r="H12" s="7" t="s">
        <v>933</v>
      </c>
      <c r="I12" s="20" t="s">
        <v>46</v>
      </c>
      <c r="J12" s="6" t="s">
        <v>77</v>
      </c>
      <c r="K12" s="6" t="s">
        <v>115</v>
      </c>
      <c r="L12" s="7" t="s">
        <v>934</v>
      </c>
      <c r="M12" s="21" t="s">
        <v>9</v>
      </c>
      <c r="N12" s="7" t="s">
        <v>117</v>
      </c>
      <c r="O12" s="6" t="s">
        <v>118</v>
      </c>
      <c r="P12" s="7"/>
    </row>
    <row r="13" customFormat="false" ht="73.1" hidden="false" customHeight="false" outlineLevel="0" collapsed="false">
      <c r="A13" s="6" t="s">
        <v>935</v>
      </c>
      <c r="B13" s="7" t="s">
        <v>29</v>
      </c>
      <c r="C13" s="6" t="s">
        <v>929</v>
      </c>
      <c r="D13" s="7" t="s">
        <v>936</v>
      </c>
      <c r="E13" s="7" t="s">
        <v>916</v>
      </c>
      <c r="F13" s="7" t="s">
        <v>937</v>
      </c>
      <c r="G13" s="7" t="s">
        <v>938</v>
      </c>
      <c r="H13" s="7" t="s">
        <v>939</v>
      </c>
      <c r="I13" s="22" t="s">
        <v>47</v>
      </c>
      <c r="J13" s="6" t="s">
        <v>82</v>
      </c>
      <c r="K13" s="6" t="s">
        <v>115</v>
      </c>
      <c r="L13" s="7" t="s">
        <v>940</v>
      </c>
      <c r="M13" s="21" t="s">
        <v>9</v>
      </c>
      <c r="N13" s="7" t="s">
        <v>117</v>
      </c>
      <c r="O13" s="6" t="s">
        <v>118</v>
      </c>
      <c r="P13" s="7" t="s">
        <v>264</v>
      </c>
    </row>
    <row r="14" customFormat="false" ht="85.05" hidden="false" customHeight="false" outlineLevel="0" collapsed="false">
      <c r="A14" s="6" t="s">
        <v>941</v>
      </c>
      <c r="B14" s="7" t="s">
        <v>29</v>
      </c>
      <c r="C14" s="6" t="s">
        <v>942</v>
      </c>
      <c r="D14" s="7" t="s">
        <v>943</v>
      </c>
      <c r="E14" s="7" t="s">
        <v>944</v>
      </c>
      <c r="F14" s="7" t="s">
        <v>945</v>
      </c>
      <c r="G14" s="7" t="s">
        <v>946</v>
      </c>
      <c r="H14" s="7" t="s">
        <v>947</v>
      </c>
      <c r="I14" s="20" t="s">
        <v>46</v>
      </c>
      <c r="J14" s="6" t="s">
        <v>77</v>
      </c>
      <c r="K14" s="6" t="s">
        <v>57</v>
      </c>
      <c r="L14" s="7" t="s">
        <v>948</v>
      </c>
      <c r="M14" s="21" t="s">
        <v>9</v>
      </c>
      <c r="N14" s="7" t="s">
        <v>117</v>
      </c>
      <c r="O14" s="6" t="s">
        <v>118</v>
      </c>
      <c r="P14" s="7" t="s">
        <v>949</v>
      </c>
    </row>
    <row r="15" customFormat="false" ht="49.25" hidden="false" customHeight="false" outlineLevel="0" collapsed="false">
      <c r="A15" s="6" t="s">
        <v>950</v>
      </c>
      <c r="B15" s="7" t="s">
        <v>29</v>
      </c>
      <c r="C15" s="6" t="s">
        <v>942</v>
      </c>
      <c r="D15" s="7" t="s">
        <v>951</v>
      </c>
      <c r="E15" s="7" t="s">
        <v>952</v>
      </c>
      <c r="F15" s="7" t="s">
        <v>953</v>
      </c>
      <c r="G15" s="7" t="s">
        <v>954</v>
      </c>
      <c r="H15" s="7" t="s">
        <v>955</v>
      </c>
      <c r="I15" s="20" t="s">
        <v>46</v>
      </c>
      <c r="J15" s="6" t="s">
        <v>77</v>
      </c>
      <c r="K15" s="6" t="s">
        <v>115</v>
      </c>
      <c r="L15" s="7" t="s">
        <v>956</v>
      </c>
      <c r="M15" s="21" t="s">
        <v>9</v>
      </c>
      <c r="N15" s="7" t="s">
        <v>117</v>
      </c>
      <c r="O15" s="6" t="s">
        <v>118</v>
      </c>
      <c r="P15" s="7" t="s">
        <v>264</v>
      </c>
    </row>
    <row r="16" customFormat="false" ht="25.35" hidden="false" customHeight="false" outlineLevel="0" collapsed="false">
      <c r="A16" s="6" t="s">
        <v>957</v>
      </c>
      <c r="B16" s="7" t="s">
        <v>29</v>
      </c>
      <c r="C16" s="6" t="s">
        <v>942</v>
      </c>
      <c r="D16" s="7" t="s">
        <v>958</v>
      </c>
      <c r="E16" s="7" t="s">
        <v>916</v>
      </c>
      <c r="F16" s="7" t="s">
        <v>863</v>
      </c>
      <c r="G16" s="7" t="s">
        <v>959</v>
      </c>
      <c r="H16" s="7" t="s">
        <v>960</v>
      </c>
      <c r="I16" s="24" t="s">
        <v>49</v>
      </c>
      <c r="J16" s="6" t="s">
        <v>77</v>
      </c>
      <c r="K16" s="6" t="s">
        <v>115</v>
      </c>
      <c r="L16" s="7" t="s">
        <v>402</v>
      </c>
      <c r="M16" s="21" t="s">
        <v>9</v>
      </c>
      <c r="N16" s="7" t="s">
        <v>117</v>
      </c>
      <c r="O16" s="6" t="s">
        <v>118</v>
      </c>
      <c r="P16" s="7"/>
    </row>
  </sheetData>
  <autoFilter ref="A1:P16"/>
  <dataValidations count="1">
    <dataValidation allowBlank="true" errorStyle="stop" operator="between" showDropDown="false" showErrorMessage="false" showInputMessage="false" sqref="M2:M16" type="list">
      <formula1>"Pass,Fail,Blocked,Chưa thực hiện"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28"/>
    <col collapsed="false" customWidth="true" hidden="false" outlineLevel="0" max="6" min="6" style="0" width="30"/>
    <col collapsed="false" customWidth="true" hidden="false" outlineLevel="0" max="7" min="7" style="0" width="38"/>
    <col collapsed="false" customWidth="true" hidden="false" outlineLevel="0" max="8" min="8" style="0" width="46"/>
    <col collapsed="false" customWidth="true" hidden="false" outlineLevel="0" max="9" min="9" style="0" width="11"/>
    <col collapsed="false" customWidth="true" hidden="false" outlineLevel="0" max="11" min="10" style="0" width="12"/>
    <col collapsed="false" customWidth="true" hidden="false" outlineLevel="0" max="12" min="12" style="0" width="26"/>
    <col collapsed="false" customWidth="true" hidden="false" outlineLevel="0" max="14" min="13" style="0" width="14"/>
    <col collapsed="false" customWidth="true" hidden="false" outlineLevel="0" max="15" min="15" style="0" width="13"/>
    <col collapsed="false" customWidth="true" hidden="false" outlineLevel="0" max="16" min="16" style="0" width="20"/>
  </cols>
  <sheetData>
    <row r="1" customFormat="false" ht="31.5" hidden="false" customHeight="true" outlineLevel="0" collapsed="false">
      <c r="A1" s="5" t="s">
        <v>60</v>
      </c>
      <c r="B1" s="5" t="s">
        <v>6</v>
      </c>
      <c r="C1" s="5" t="s">
        <v>94</v>
      </c>
      <c r="D1" s="5" t="s">
        <v>95</v>
      </c>
      <c r="E1" s="5" t="s">
        <v>96</v>
      </c>
      <c r="F1" s="5" t="s">
        <v>97</v>
      </c>
      <c r="G1" s="5" t="s">
        <v>98</v>
      </c>
      <c r="H1" s="5" t="s">
        <v>99</v>
      </c>
      <c r="I1" s="5" t="s">
        <v>100</v>
      </c>
      <c r="J1" s="5" t="s">
        <v>101</v>
      </c>
      <c r="K1" s="5" t="s">
        <v>102</v>
      </c>
      <c r="L1" s="5" t="s">
        <v>103</v>
      </c>
      <c r="M1" s="5" t="s">
        <v>104</v>
      </c>
      <c r="N1" s="5" t="s">
        <v>105</v>
      </c>
      <c r="O1" s="5" t="s">
        <v>106</v>
      </c>
      <c r="P1" s="5" t="s">
        <v>107</v>
      </c>
    </row>
    <row r="2" customFormat="false" ht="97" hidden="false" customHeight="false" outlineLevel="0" collapsed="false">
      <c r="A2" s="6" t="s">
        <v>961</v>
      </c>
      <c r="B2" s="7" t="s">
        <v>31</v>
      </c>
      <c r="C2" s="6" t="s">
        <v>962</v>
      </c>
      <c r="D2" s="7" t="s">
        <v>963</v>
      </c>
      <c r="E2" s="7" t="s">
        <v>964</v>
      </c>
      <c r="F2" s="7" t="s">
        <v>965</v>
      </c>
      <c r="G2" s="7" t="s">
        <v>966</v>
      </c>
      <c r="H2" s="7" t="s">
        <v>967</v>
      </c>
      <c r="I2" s="20" t="s">
        <v>46</v>
      </c>
      <c r="J2" s="6" t="s">
        <v>77</v>
      </c>
      <c r="K2" s="6" t="s">
        <v>115</v>
      </c>
      <c r="L2" s="7" t="s">
        <v>968</v>
      </c>
      <c r="M2" s="21" t="s">
        <v>9</v>
      </c>
      <c r="N2" s="7" t="s">
        <v>117</v>
      </c>
      <c r="O2" s="6" t="s">
        <v>118</v>
      </c>
      <c r="P2" s="7" t="s">
        <v>969</v>
      </c>
    </row>
    <row r="3" customFormat="false" ht="61.15" hidden="false" customHeight="false" outlineLevel="0" collapsed="false">
      <c r="A3" s="6" t="s">
        <v>970</v>
      </c>
      <c r="B3" s="7" t="s">
        <v>31</v>
      </c>
      <c r="C3" s="6" t="s">
        <v>962</v>
      </c>
      <c r="D3" s="7" t="s">
        <v>971</v>
      </c>
      <c r="E3" s="7" t="s">
        <v>972</v>
      </c>
      <c r="F3" s="7" t="s">
        <v>973</v>
      </c>
      <c r="G3" s="7" t="s">
        <v>974</v>
      </c>
      <c r="H3" s="7" t="s">
        <v>975</v>
      </c>
      <c r="I3" s="20" t="s">
        <v>46</v>
      </c>
      <c r="J3" s="6" t="s">
        <v>77</v>
      </c>
      <c r="K3" s="6" t="s">
        <v>115</v>
      </c>
      <c r="L3" s="7" t="s">
        <v>976</v>
      </c>
      <c r="M3" s="21" t="s">
        <v>9</v>
      </c>
      <c r="N3" s="7" t="s">
        <v>117</v>
      </c>
      <c r="O3" s="6" t="s">
        <v>118</v>
      </c>
      <c r="P3" s="7" t="s">
        <v>308</v>
      </c>
    </row>
    <row r="4" customFormat="false" ht="61.15" hidden="false" customHeight="false" outlineLevel="0" collapsed="false">
      <c r="A4" s="6" t="s">
        <v>977</v>
      </c>
      <c r="B4" s="7" t="s">
        <v>31</v>
      </c>
      <c r="C4" s="6" t="s">
        <v>978</v>
      </c>
      <c r="D4" s="7" t="s">
        <v>979</v>
      </c>
      <c r="E4" s="7" t="s">
        <v>980</v>
      </c>
      <c r="F4" s="7" t="s">
        <v>981</v>
      </c>
      <c r="G4" s="7" t="s">
        <v>982</v>
      </c>
      <c r="H4" s="7" t="s">
        <v>983</v>
      </c>
      <c r="I4" s="20" t="s">
        <v>46</v>
      </c>
      <c r="J4" s="6" t="s">
        <v>77</v>
      </c>
      <c r="K4" s="6" t="s">
        <v>115</v>
      </c>
      <c r="L4" s="7" t="s">
        <v>984</v>
      </c>
      <c r="M4" s="21" t="s">
        <v>9</v>
      </c>
      <c r="N4" s="7" t="s">
        <v>117</v>
      </c>
      <c r="O4" s="6" t="s">
        <v>118</v>
      </c>
      <c r="P4" s="7" t="s">
        <v>186</v>
      </c>
    </row>
    <row r="5" customFormat="false" ht="37.3" hidden="false" customHeight="false" outlineLevel="0" collapsed="false">
      <c r="A5" s="6" t="s">
        <v>985</v>
      </c>
      <c r="B5" s="7" t="s">
        <v>31</v>
      </c>
      <c r="C5" s="6" t="s">
        <v>978</v>
      </c>
      <c r="D5" s="7" t="s">
        <v>986</v>
      </c>
      <c r="E5" s="7" t="s">
        <v>987</v>
      </c>
      <c r="F5" s="7" t="s">
        <v>988</v>
      </c>
      <c r="G5" s="7" t="s">
        <v>989</v>
      </c>
      <c r="H5" s="7" t="s">
        <v>990</v>
      </c>
      <c r="I5" s="24" t="s">
        <v>49</v>
      </c>
      <c r="J5" s="6" t="s">
        <v>77</v>
      </c>
      <c r="K5" s="6" t="s">
        <v>115</v>
      </c>
      <c r="L5" s="7" t="s">
        <v>991</v>
      </c>
      <c r="M5" s="21" t="s">
        <v>9</v>
      </c>
      <c r="N5" s="7" t="s">
        <v>117</v>
      </c>
      <c r="O5" s="6" t="s">
        <v>118</v>
      </c>
      <c r="P5" s="7"/>
    </row>
    <row r="6" customFormat="false" ht="97" hidden="false" customHeight="false" outlineLevel="0" collapsed="false">
      <c r="A6" s="6" t="s">
        <v>70</v>
      </c>
      <c r="B6" s="7" t="s">
        <v>31</v>
      </c>
      <c r="C6" s="6" t="s">
        <v>978</v>
      </c>
      <c r="D6" s="7" t="s">
        <v>992</v>
      </c>
      <c r="E6" s="7" t="s">
        <v>980</v>
      </c>
      <c r="F6" s="7" t="s">
        <v>993</v>
      </c>
      <c r="G6" s="7" t="s">
        <v>994</v>
      </c>
      <c r="H6" s="7" t="s">
        <v>995</v>
      </c>
      <c r="I6" s="24" t="s">
        <v>49</v>
      </c>
      <c r="J6" s="6" t="s">
        <v>77</v>
      </c>
      <c r="K6" s="6" t="s">
        <v>115</v>
      </c>
      <c r="L6" s="7" t="s">
        <v>996</v>
      </c>
      <c r="M6" s="23" t="s">
        <v>10</v>
      </c>
      <c r="N6" s="7" t="s">
        <v>117</v>
      </c>
      <c r="O6" s="6" t="s">
        <v>118</v>
      </c>
      <c r="P6" s="7" t="s">
        <v>997</v>
      </c>
    </row>
    <row r="7" customFormat="false" ht="49.25" hidden="false" customHeight="false" outlineLevel="0" collapsed="false">
      <c r="A7" s="6" t="s">
        <v>998</v>
      </c>
      <c r="B7" s="7" t="s">
        <v>31</v>
      </c>
      <c r="C7" s="6" t="s">
        <v>978</v>
      </c>
      <c r="D7" s="7" t="s">
        <v>999</v>
      </c>
      <c r="E7" s="7" t="s">
        <v>1000</v>
      </c>
      <c r="F7" s="7" t="s">
        <v>1001</v>
      </c>
      <c r="G7" s="7" t="s">
        <v>1002</v>
      </c>
      <c r="H7" s="7" t="s">
        <v>1003</v>
      </c>
      <c r="I7" s="20" t="s">
        <v>46</v>
      </c>
      <c r="J7" s="6" t="s">
        <v>82</v>
      </c>
      <c r="K7" s="6" t="s">
        <v>115</v>
      </c>
      <c r="L7" s="7" t="s">
        <v>1004</v>
      </c>
      <c r="M7" s="21" t="s">
        <v>9</v>
      </c>
      <c r="N7" s="7" t="s">
        <v>117</v>
      </c>
      <c r="O7" s="6" t="s">
        <v>118</v>
      </c>
      <c r="P7" s="7" t="s">
        <v>308</v>
      </c>
    </row>
    <row r="8" customFormat="false" ht="37.3" hidden="false" customHeight="false" outlineLevel="0" collapsed="false">
      <c r="A8" s="6" t="s">
        <v>1005</v>
      </c>
      <c r="B8" s="7" t="s">
        <v>31</v>
      </c>
      <c r="C8" s="6" t="s">
        <v>978</v>
      </c>
      <c r="D8" s="7" t="s">
        <v>1006</v>
      </c>
      <c r="E8" s="7" t="s">
        <v>1007</v>
      </c>
      <c r="F8" s="7" t="s">
        <v>533</v>
      </c>
      <c r="G8" s="7" t="s">
        <v>1008</v>
      </c>
      <c r="H8" s="7" t="s">
        <v>1009</v>
      </c>
      <c r="I8" s="24" t="s">
        <v>49</v>
      </c>
      <c r="J8" s="6" t="s">
        <v>77</v>
      </c>
      <c r="K8" s="6" t="s">
        <v>115</v>
      </c>
      <c r="L8" s="7" t="s">
        <v>1010</v>
      </c>
      <c r="M8" s="21" t="s">
        <v>9</v>
      </c>
      <c r="N8" s="7" t="s">
        <v>117</v>
      </c>
      <c r="O8" s="6" t="s">
        <v>118</v>
      </c>
      <c r="P8" s="7"/>
    </row>
    <row r="9" customFormat="false" ht="85.05" hidden="false" customHeight="false" outlineLevel="0" collapsed="false">
      <c r="A9" s="6" t="s">
        <v>1011</v>
      </c>
      <c r="B9" s="7" t="s">
        <v>31</v>
      </c>
      <c r="C9" s="6" t="s">
        <v>1012</v>
      </c>
      <c r="D9" s="7" t="s">
        <v>1013</v>
      </c>
      <c r="E9" s="7" t="s">
        <v>1014</v>
      </c>
      <c r="F9" s="7" t="s">
        <v>1015</v>
      </c>
      <c r="G9" s="7" t="s">
        <v>1016</v>
      </c>
      <c r="H9" s="7" t="s">
        <v>1017</v>
      </c>
      <c r="I9" s="20" t="s">
        <v>46</v>
      </c>
      <c r="J9" s="6" t="s">
        <v>77</v>
      </c>
      <c r="K9" s="6" t="s">
        <v>57</v>
      </c>
      <c r="L9" s="7" t="s">
        <v>1018</v>
      </c>
      <c r="M9" s="21" t="s">
        <v>9</v>
      </c>
      <c r="N9" s="7" t="s">
        <v>117</v>
      </c>
      <c r="O9" s="6" t="s">
        <v>118</v>
      </c>
      <c r="P9" s="7" t="s">
        <v>520</v>
      </c>
    </row>
    <row r="10" customFormat="false" ht="49.25" hidden="false" customHeight="false" outlineLevel="0" collapsed="false">
      <c r="A10" s="6" t="s">
        <v>1019</v>
      </c>
      <c r="B10" s="7" t="s">
        <v>31</v>
      </c>
      <c r="C10" s="6" t="s">
        <v>1020</v>
      </c>
      <c r="D10" s="7" t="s">
        <v>1021</v>
      </c>
      <c r="E10" s="7" t="s">
        <v>1022</v>
      </c>
      <c r="F10" s="7" t="s">
        <v>1015</v>
      </c>
      <c r="G10" s="7" t="s">
        <v>1023</v>
      </c>
      <c r="H10" s="7" t="s">
        <v>1024</v>
      </c>
      <c r="I10" s="20" t="s">
        <v>46</v>
      </c>
      <c r="J10" s="6" t="s">
        <v>82</v>
      </c>
      <c r="K10" s="6" t="s">
        <v>115</v>
      </c>
      <c r="L10" s="7" t="s">
        <v>1025</v>
      </c>
      <c r="M10" s="21" t="s">
        <v>9</v>
      </c>
      <c r="N10" s="7" t="s">
        <v>117</v>
      </c>
      <c r="O10" s="6" t="s">
        <v>118</v>
      </c>
      <c r="P10" s="7" t="s">
        <v>264</v>
      </c>
    </row>
    <row r="11" customFormat="false" ht="25.35" hidden="false" customHeight="false" outlineLevel="0" collapsed="false">
      <c r="A11" s="6" t="s">
        <v>1026</v>
      </c>
      <c r="B11" s="7" t="s">
        <v>31</v>
      </c>
      <c r="C11" s="6" t="s">
        <v>1020</v>
      </c>
      <c r="D11" s="7" t="s">
        <v>1027</v>
      </c>
      <c r="E11" s="7" t="s">
        <v>1028</v>
      </c>
      <c r="F11" s="7" t="s">
        <v>1029</v>
      </c>
      <c r="G11" s="7" t="s">
        <v>1030</v>
      </c>
      <c r="H11" s="7" t="s">
        <v>1031</v>
      </c>
      <c r="I11" s="24" t="s">
        <v>49</v>
      </c>
      <c r="J11" s="6" t="s">
        <v>77</v>
      </c>
      <c r="K11" s="6" t="s">
        <v>115</v>
      </c>
      <c r="L11" s="7" t="s">
        <v>1032</v>
      </c>
      <c r="M11" s="21" t="s">
        <v>9</v>
      </c>
      <c r="N11" s="7" t="s">
        <v>117</v>
      </c>
      <c r="O11" s="6" t="s">
        <v>118</v>
      </c>
      <c r="P11" s="7"/>
    </row>
  </sheetData>
  <autoFilter ref="A1:P11"/>
  <dataValidations count="1">
    <dataValidation allowBlank="true" errorStyle="stop" operator="between" showDropDown="false" showErrorMessage="false" showInputMessage="false" sqref="M2:M11" type="list">
      <formula1>"Pass,Fail,Blocked,Chưa thực hiện"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60"/>
    <col collapsed="false" customWidth="true" hidden="false" outlineLevel="0" max="5" min="4" style="0" width="9"/>
    <col collapsed="false" customWidth="true" hidden="false" outlineLevel="0" max="6" min="6" style="0" width="13"/>
    <col collapsed="false" customWidth="true" hidden="false" outlineLevel="0" max="7" min="7" style="0" width="12"/>
    <col collapsed="false" customWidth="true" hidden="false" outlineLevel="0" max="8" min="8" style="0" width="34"/>
  </cols>
  <sheetData>
    <row r="1" customFormat="false" ht="17.35" hidden="false" customHeight="false" outlineLevel="0" collapsed="false">
      <c r="A1" s="1" t="s">
        <v>1033</v>
      </c>
      <c r="B1" s="1"/>
      <c r="C1" s="1"/>
      <c r="D1" s="1"/>
      <c r="E1" s="1"/>
      <c r="F1" s="1"/>
      <c r="G1" s="1"/>
      <c r="H1" s="1"/>
    </row>
    <row r="3" customFormat="false" ht="31.5" hidden="false" customHeight="true" outlineLevel="0" collapsed="false">
      <c r="A3" s="5" t="s">
        <v>1034</v>
      </c>
      <c r="B3" s="5" t="s">
        <v>1035</v>
      </c>
      <c r="C3" s="5" t="s">
        <v>1036</v>
      </c>
      <c r="D3" s="5" t="s">
        <v>9</v>
      </c>
      <c r="E3" s="5" t="s">
        <v>10</v>
      </c>
      <c r="F3" s="5" t="s">
        <v>12</v>
      </c>
      <c r="G3" s="5" t="s">
        <v>8</v>
      </c>
      <c r="H3" s="5" t="s">
        <v>107</v>
      </c>
    </row>
    <row r="4" customFormat="false" ht="37.3" hidden="false" customHeight="false" outlineLevel="0" collapsed="false">
      <c r="A4" s="6" t="s">
        <v>109</v>
      </c>
      <c r="B4" s="6" t="n">
        <f aca="false">COUNTIF('Toàn bộ Test Case'!C:C,A4)</f>
        <v>11</v>
      </c>
      <c r="C4" s="7" t="s">
        <v>1037</v>
      </c>
      <c r="D4" s="6" t="n">
        <f aca="false">COUNTIFS('Toàn bộ Test Case'!C:C,A4,'Toàn bộ Test Case'!M:M,"Pass")</f>
        <v>7</v>
      </c>
      <c r="E4" s="6" t="n">
        <f aca="false">COUNTIFS('Toàn bộ Test Case'!C:C,A4,'Toàn bộ Test Case'!M:M,"Fail")</f>
        <v>1</v>
      </c>
      <c r="F4" s="6" t="n">
        <f aca="false">COUNTIFS('Toàn bộ Test Case'!C:C,A4,'Toàn bộ Test Case'!M:M,"Chưa thực hiện")</f>
        <v>3</v>
      </c>
      <c r="G4" s="6" t="n">
        <f aca="false">D4+E4</f>
        <v>8</v>
      </c>
      <c r="H4" s="7" t="s">
        <v>1038</v>
      </c>
    </row>
    <row r="5" customFormat="false" ht="25.35" hidden="false" customHeight="false" outlineLevel="0" collapsed="false">
      <c r="A5" s="6" t="s">
        <v>179</v>
      </c>
      <c r="B5" s="6" t="n">
        <f aca="false">COUNTIF('Toàn bộ Test Case'!C:C,A5)</f>
        <v>8</v>
      </c>
      <c r="C5" s="7" t="s">
        <v>1039</v>
      </c>
      <c r="D5" s="6" t="n">
        <f aca="false">COUNTIFS('Toàn bộ Test Case'!C:C,A5,'Toàn bộ Test Case'!M:M,"Pass")</f>
        <v>8</v>
      </c>
      <c r="E5" s="6" t="n">
        <f aca="false">COUNTIFS('Toàn bộ Test Case'!C:C,A5,'Toàn bộ Test Case'!M:M,"Fail")</f>
        <v>0</v>
      </c>
      <c r="F5" s="6" t="n">
        <f aca="false">COUNTIFS('Toàn bộ Test Case'!C:C,A5,'Toàn bộ Test Case'!M:M,"Chưa thực hiện")</f>
        <v>0</v>
      </c>
      <c r="G5" s="6" t="n">
        <f aca="false">D5+E5</f>
        <v>8</v>
      </c>
      <c r="H5" s="7"/>
    </row>
    <row r="6" customFormat="false" ht="15" hidden="false" customHeight="false" outlineLevel="0" collapsed="false">
      <c r="A6" s="6" t="s">
        <v>229</v>
      </c>
      <c r="B6" s="6" t="n">
        <f aca="false">COUNTIF('Toàn bộ Test Case'!C:C,A6)</f>
        <v>3</v>
      </c>
      <c r="C6" s="7" t="s">
        <v>1040</v>
      </c>
      <c r="D6" s="6" t="n">
        <f aca="false">COUNTIFS('Toàn bộ Test Case'!C:C,A6,'Toàn bộ Test Case'!M:M,"Pass")</f>
        <v>2</v>
      </c>
      <c r="E6" s="6" t="n">
        <f aca="false">COUNTIFS('Toàn bộ Test Case'!C:C,A6,'Toàn bộ Test Case'!M:M,"Fail")</f>
        <v>0</v>
      </c>
      <c r="F6" s="6" t="n">
        <f aca="false">COUNTIFS('Toàn bộ Test Case'!C:C,A6,'Toàn bộ Test Case'!M:M,"Chưa thực hiện")</f>
        <v>1</v>
      </c>
      <c r="G6" s="6" t="n">
        <f aca="false">D6+E6</f>
        <v>2</v>
      </c>
      <c r="H6" s="7"/>
    </row>
    <row r="7" customFormat="false" ht="15" hidden="false" customHeight="false" outlineLevel="0" collapsed="false">
      <c r="A7" s="6" t="s">
        <v>250</v>
      </c>
      <c r="B7" s="6" t="n">
        <f aca="false">COUNTIF('Toàn bộ Test Case'!C:C,A7)</f>
        <v>3</v>
      </c>
      <c r="C7" s="7" t="s">
        <v>1041</v>
      </c>
      <c r="D7" s="6" t="n">
        <f aca="false">COUNTIFS('Toàn bộ Test Case'!C:C,A7,'Toàn bộ Test Case'!M:M,"Pass")</f>
        <v>2</v>
      </c>
      <c r="E7" s="6" t="n">
        <f aca="false">COUNTIFS('Toàn bộ Test Case'!C:C,A7,'Toàn bộ Test Case'!M:M,"Fail")</f>
        <v>0</v>
      </c>
      <c r="F7" s="6" t="n">
        <f aca="false">COUNTIFS('Toàn bộ Test Case'!C:C,A7,'Toàn bộ Test Case'!M:M,"Chưa thực hiện")</f>
        <v>1</v>
      </c>
      <c r="G7" s="6" t="n">
        <f aca="false">D7+E7</f>
        <v>2</v>
      </c>
      <c r="H7" s="7"/>
    </row>
    <row r="8" customFormat="false" ht="25.35" hidden="false" customHeight="false" outlineLevel="0" collapsed="false">
      <c r="A8" s="6" t="s">
        <v>273</v>
      </c>
      <c r="B8" s="6" t="n">
        <f aca="false">COUNTIF('Toàn bộ Test Case'!C:C,A8)</f>
        <v>7</v>
      </c>
      <c r="C8" s="7" t="s">
        <v>1042</v>
      </c>
      <c r="D8" s="6" t="n">
        <f aca="false">COUNTIFS('Toàn bộ Test Case'!C:C,A8,'Toàn bộ Test Case'!M:M,"Pass")</f>
        <v>5</v>
      </c>
      <c r="E8" s="6" t="n">
        <f aca="false">COUNTIFS('Toàn bộ Test Case'!C:C,A8,'Toàn bộ Test Case'!M:M,"Fail")</f>
        <v>0</v>
      </c>
      <c r="F8" s="6" t="n">
        <f aca="false">COUNTIFS('Toàn bộ Test Case'!C:C,A8,'Toàn bộ Test Case'!M:M,"Chưa thực hiện")</f>
        <v>2</v>
      </c>
      <c r="G8" s="6" t="n">
        <f aca="false">D8+E8</f>
        <v>5</v>
      </c>
      <c r="H8" s="7"/>
    </row>
    <row r="9" customFormat="false" ht="25.35" hidden="false" customHeight="false" outlineLevel="0" collapsed="false">
      <c r="A9" s="22" t="s">
        <v>426</v>
      </c>
      <c r="B9" s="6" t="n">
        <f aca="false">COUNTIF('Toàn bộ Test Case'!C:C,A9)</f>
        <v>5</v>
      </c>
      <c r="C9" s="7" t="s">
        <v>1043</v>
      </c>
      <c r="D9" s="6" t="n">
        <f aca="false">COUNTIFS('Toàn bộ Test Case'!C:C,A9,'Toàn bộ Test Case'!M:M,"Pass")</f>
        <v>0</v>
      </c>
      <c r="E9" s="6" t="n">
        <f aca="false">COUNTIFS('Toàn bộ Test Case'!C:C,A9,'Toàn bộ Test Case'!M:M,"Fail")</f>
        <v>0</v>
      </c>
      <c r="F9" s="6" t="n">
        <f aca="false">COUNTIFS('Toàn bộ Test Case'!C:C,A9,'Toàn bộ Test Case'!M:M,"Chưa thực hiện")</f>
        <v>5</v>
      </c>
      <c r="G9" s="6" t="n">
        <f aca="false">D9+E9</f>
        <v>0</v>
      </c>
      <c r="H9" s="7" t="s">
        <v>1044</v>
      </c>
    </row>
    <row r="10" customFormat="false" ht="25.35" hidden="false" customHeight="false" outlineLevel="0" collapsed="false">
      <c r="A10" s="6" t="s">
        <v>458</v>
      </c>
      <c r="B10" s="6" t="n">
        <f aca="false">COUNTIF('Toàn bộ Test Case'!C:C,A10)</f>
        <v>12</v>
      </c>
      <c r="C10" s="7" t="s">
        <v>1045</v>
      </c>
      <c r="D10" s="6" t="n">
        <f aca="false">COUNTIFS('Toàn bộ Test Case'!C:C,A10,'Toàn bộ Test Case'!M:M,"Pass")</f>
        <v>11</v>
      </c>
      <c r="E10" s="6" t="n">
        <f aca="false">COUNTIFS('Toàn bộ Test Case'!C:C,A10,'Toàn bộ Test Case'!M:M,"Fail")</f>
        <v>0</v>
      </c>
      <c r="F10" s="6" t="n">
        <f aca="false">COUNTIFS('Toàn bộ Test Case'!C:C,A10,'Toàn bộ Test Case'!M:M,"Chưa thực hiện")</f>
        <v>1</v>
      </c>
      <c r="G10" s="6" t="n">
        <f aca="false">D10+E10</f>
        <v>11</v>
      </c>
      <c r="H10" s="7"/>
    </row>
    <row r="11" customFormat="false" ht="15" hidden="false" customHeight="false" outlineLevel="0" collapsed="false">
      <c r="A11" s="6" t="s">
        <v>530</v>
      </c>
      <c r="B11" s="6" t="n">
        <f aca="false">COUNTIF('Toàn bộ Test Case'!C:C,A11)</f>
        <v>5</v>
      </c>
      <c r="C11" s="7" t="s">
        <v>1046</v>
      </c>
      <c r="D11" s="6" t="n">
        <f aca="false">COUNTIFS('Toàn bộ Test Case'!C:C,A11,'Toàn bộ Test Case'!M:M,"Pass")</f>
        <v>4</v>
      </c>
      <c r="E11" s="6" t="n">
        <f aca="false">COUNTIFS('Toàn bộ Test Case'!C:C,A11,'Toàn bộ Test Case'!M:M,"Fail")</f>
        <v>0</v>
      </c>
      <c r="F11" s="6" t="n">
        <f aca="false">COUNTIFS('Toàn bộ Test Case'!C:C,A11,'Toàn bộ Test Case'!M:M,"Chưa thực hiện")</f>
        <v>1</v>
      </c>
      <c r="G11" s="6" t="n">
        <f aca="false">D11+E11</f>
        <v>4</v>
      </c>
      <c r="H11" s="7"/>
    </row>
    <row r="12" customFormat="false" ht="25.35" hidden="false" customHeight="false" outlineLevel="0" collapsed="false">
      <c r="A12" s="6" t="s">
        <v>660</v>
      </c>
      <c r="B12" s="6" t="n">
        <f aca="false">COUNTIF('Toàn bộ Test Case'!C:C,A12)</f>
        <v>8</v>
      </c>
      <c r="C12" s="7" t="s">
        <v>1047</v>
      </c>
      <c r="D12" s="6" t="n">
        <f aca="false">COUNTIFS('Toàn bộ Test Case'!C:C,A12,'Toàn bộ Test Case'!M:M,"Pass")</f>
        <v>8</v>
      </c>
      <c r="E12" s="6" t="n">
        <f aca="false">COUNTIFS('Toàn bộ Test Case'!C:C,A12,'Toàn bộ Test Case'!M:M,"Fail")</f>
        <v>0</v>
      </c>
      <c r="F12" s="6" t="n">
        <f aca="false">COUNTIFS('Toàn bộ Test Case'!C:C,A12,'Toàn bộ Test Case'!M:M,"Chưa thực hiện")</f>
        <v>0</v>
      </c>
      <c r="G12" s="6" t="n">
        <f aca="false">D12+E12</f>
        <v>8</v>
      </c>
      <c r="H12" s="7"/>
    </row>
    <row r="13" customFormat="false" ht="25.35" hidden="false" customHeight="false" outlineLevel="0" collapsed="false">
      <c r="A13" s="6" t="s">
        <v>581</v>
      </c>
      <c r="B13" s="6" t="n">
        <f aca="false">COUNTIF('Toàn bộ Test Case'!C:C,A13)</f>
        <v>10</v>
      </c>
      <c r="C13" s="7" t="s">
        <v>1048</v>
      </c>
      <c r="D13" s="6" t="n">
        <f aca="false">COUNTIFS('Toàn bộ Test Case'!C:C,A13,'Toàn bộ Test Case'!M:M,"Pass")</f>
        <v>10</v>
      </c>
      <c r="E13" s="6" t="n">
        <f aca="false">COUNTIFS('Toàn bộ Test Case'!C:C,A13,'Toàn bộ Test Case'!M:M,"Fail")</f>
        <v>0</v>
      </c>
      <c r="F13" s="6" t="n">
        <f aca="false">COUNTIFS('Toàn bộ Test Case'!C:C,A13,'Toàn bộ Test Case'!M:M,"Chưa thực hiện")</f>
        <v>0</v>
      </c>
      <c r="G13" s="6" t="n">
        <f aca="false">D13+E13</f>
        <v>10</v>
      </c>
      <c r="H13" s="7"/>
    </row>
    <row r="14" customFormat="false" ht="15" hidden="false" customHeight="false" outlineLevel="0" collapsed="false">
      <c r="A14" s="6" t="s">
        <v>567</v>
      </c>
      <c r="B14" s="6" t="n">
        <f aca="false">COUNTIF('Toàn bộ Test Case'!C:C,A14)</f>
        <v>2</v>
      </c>
      <c r="C14" s="7" t="s">
        <v>1049</v>
      </c>
      <c r="D14" s="6" t="n">
        <f aca="false">COUNTIFS('Toàn bộ Test Case'!C:C,A14,'Toàn bộ Test Case'!M:M,"Pass")</f>
        <v>1</v>
      </c>
      <c r="E14" s="6" t="n">
        <f aca="false">COUNTIFS('Toàn bộ Test Case'!C:C,A14,'Toàn bộ Test Case'!M:M,"Fail")</f>
        <v>1</v>
      </c>
      <c r="F14" s="6" t="n">
        <f aca="false">COUNTIFS('Toàn bộ Test Case'!C:C,A14,'Toàn bộ Test Case'!M:M,"Chưa thực hiện")</f>
        <v>0</v>
      </c>
      <c r="G14" s="6" t="n">
        <f aca="false">D14+E14</f>
        <v>2</v>
      </c>
      <c r="H14" s="7" t="s">
        <v>1050</v>
      </c>
    </row>
    <row r="15" customFormat="false" ht="25.35" hidden="false" customHeight="false" outlineLevel="0" collapsed="false">
      <c r="A15" s="6" t="s">
        <v>322</v>
      </c>
      <c r="B15" s="6" t="n">
        <f aca="false">COUNTIF('Toàn bộ Test Case'!C:C,A15)</f>
        <v>9</v>
      </c>
      <c r="C15" s="7" t="s">
        <v>1051</v>
      </c>
      <c r="D15" s="6" t="n">
        <f aca="false">COUNTIFS('Toàn bộ Test Case'!C:C,A15,'Toàn bộ Test Case'!M:M,"Pass")</f>
        <v>8</v>
      </c>
      <c r="E15" s="6" t="n">
        <f aca="false">COUNTIFS('Toàn bộ Test Case'!C:C,A15,'Toàn bộ Test Case'!M:M,"Fail")</f>
        <v>1</v>
      </c>
      <c r="F15" s="6" t="n">
        <f aca="false">COUNTIFS('Toàn bộ Test Case'!C:C,A15,'Toàn bộ Test Case'!M:M,"Chưa thực hiện")</f>
        <v>0</v>
      </c>
      <c r="G15" s="6" t="n">
        <f aca="false">D15+E15</f>
        <v>9</v>
      </c>
      <c r="H15" s="7" t="s">
        <v>1052</v>
      </c>
    </row>
    <row r="16" customFormat="false" ht="15" hidden="false" customHeight="false" outlineLevel="0" collapsed="false">
      <c r="A16" s="6" t="s">
        <v>383</v>
      </c>
      <c r="B16" s="6" t="n">
        <f aca="false">COUNTIF('Toàn bộ Test Case'!C:C,A16)</f>
        <v>4</v>
      </c>
      <c r="C16" s="7" t="s">
        <v>1053</v>
      </c>
      <c r="D16" s="6" t="n">
        <f aca="false">COUNTIFS('Toàn bộ Test Case'!C:C,A16,'Toàn bộ Test Case'!M:M,"Pass")</f>
        <v>3</v>
      </c>
      <c r="E16" s="6" t="n">
        <f aca="false">COUNTIFS('Toàn bộ Test Case'!C:C,A16,'Toàn bộ Test Case'!M:M,"Fail")</f>
        <v>0</v>
      </c>
      <c r="F16" s="6" t="n">
        <f aca="false">COUNTIFS('Toàn bộ Test Case'!C:C,A16,'Toàn bộ Test Case'!M:M,"Chưa thực hiện")</f>
        <v>1</v>
      </c>
      <c r="G16" s="6" t="n">
        <f aca="false">D16+E16</f>
        <v>3</v>
      </c>
      <c r="H16" s="7"/>
    </row>
    <row r="17" customFormat="false" ht="15" hidden="false" customHeight="false" outlineLevel="0" collapsed="false">
      <c r="A17" s="6" t="s">
        <v>412</v>
      </c>
      <c r="B17" s="6" t="n">
        <f aca="false">COUNTIF('Toàn bộ Test Case'!C:C,A17)</f>
        <v>2</v>
      </c>
      <c r="C17" s="7" t="s">
        <v>1054</v>
      </c>
      <c r="D17" s="6" t="n">
        <f aca="false">COUNTIFS('Toàn bộ Test Case'!C:C,A17,'Toàn bộ Test Case'!M:M,"Pass")</f>
        <v>2</v>
      </c>
      <c r="E17" s="6" t="n">
        <f aca="false">COUNTIFS('Toàn bộ Test Case'!C:C,A17,'Toàn bộ Test Case'!M:M,"Fail")</f>
        <v>0</v>
      </c>
      <c r="F17" s="6" t="n">
        <f aca="false">COUNTIFS('Toàn bộ Test Case'!C:C,A17,'Toàn bộ Test Case'!M:M,"Chưa thực hiện")</f>
        <v>0</v>
      </c>
      <c r="G17" s="6" t="n">
        <f aca="false">D17+E17</f>
        <v>2</v>
      </c>
      <c r="H17" s="7"/>
    </row>
    <row r="18" customFormat="false" ht="15" hidden="false" customHeight="false" outlineLevel="0" collapsed="false">
      <c r="A18" s="6" t="s">
        <v>860</v>
      </c>
      <c r="B18" s="6" t="n">
        <f aca="false">COUNTIF('Toàn bộ Test Case'!C:C,A18)</f>
        <v>7</v>
      </c>
      <c r="C18" s="7" t="s">
        <v>1055</v>
      </c>
      <c r="D18" s="6" t="n">
        <f aca="false">COUNTIFS('Toàn bộ Test Case'!C:C,A18,'Toàn bộ Test Case'!M:M,"Pass")</f>
        <v>7</v>
      </c>
      <c r="E18" s="6" t="n">
        <f aca="false">COUNTIFS('Toàn bộ Test Case'!C:C,A18,'Toàn bộ Test Case'!M:M,"Fail")</f>
        <v>0</v>
      </c>
      <c r="F18" s="6" t="n">
        <f aca="false">COUNTIFS('Toàn bộ Test Case'!C:C,A18,'Toàn bộ Test Case'!M:M,"Chưa thực hiện")</f>
        <v>0</v>
      </c>
      <c r="G18" s="6" t="n">
        <f aca="false">D18+E18</f>
        <v>7</v>
      </c>
      <c r="H18" s="7"/>
    </row>
    <row r="19" customFormat="false" ht="15" hidden="false" customHeight="false" outlineLevel="0" collapsed="false">
      <c r="A19" s="6" t="s">
        <v>907</v>
      </c>
      <c r="B19" s="6" t="n">
        <f aca="false">COUNTIF('Toàn bộ Test Case'!C:C,A19)</f>
        <v>3</v>
      </c>
      <c r="C19" s="7" t="s">
        <v>1056</v>
      </c>
      <c r="D19" s="6" t="n">
        <f aca="false">COUNTIFS('Toàn bộ Test Case'!C:C,A19,'Toàn bộ Test Case'!M:M,"Pass")</f>
        <v>2</v>
      </c>
      <c r="E19" s="6" t="n">
        <f aca="false">COUNTIFS('Toàn bộ Test Case'!C:C,A19,'Toàn bộ Test Case'!M:M,"Fail")</f>
        <v>0</v>
      </c>
      <c r="F19" s="6" t="n">
        <f aca="false">COUNTIFS('Toàn bộ Test Case'!C:C,A19,'Toàn bộ Test Case'!M:M,"Chưa thực hiện")</f>
        <v>1</v>
      </c>
      <c r="G19" s="6" t="n">
        <f aca="false">D19+E19</f>
        <v>2</v>
      </c>
      <c r="H19" s="7"/>
    </row>
    <row r="20" customFormat="false" ht="15" hidden="false" customHeight="false" outlineLevel="0" collapsed="false">
      <c r="A20" s="6" t="s">
        <v>929</v>
      </c>
      <c r="B20" s="6" t="n">
        <f aca="false">COUNTIF('Toàn bộ Test Case'!C:C,A20)</f>
        <v>2</v>
      </c>
      <c r="C20" s="7" t="s">
        <v>1057</v>
      </c>
      <c r="D20" s="6" t="n">
        <f aca="false">COUNTIFS('Toàn bộ Test Case'!C:C,A20,'Toàn bộ Test Case'!M:M,"Pass")</f>
        <v>2</v>
      </c>
      <c r="E20" s="6" t="n">
        <f aca="false">COUNTIFS('Toàn bộ Test Case'!C:C,A20,'Toàn bộ Test Case'!M:M,"Fail")</f>
        <v>0</v>
      </c>
      <c r="F20" s="6" t="n">
        <f aca="false">COUNTIFS('Toàn bộ Test Case'!C:C,A20,'Toàn bộ Test Case'!M:M,"Chưa thực hiện")</f>
        <v>0</v>
      </c>
      <c r="G20" s="6" t="n">
        <f aca="false">D20+E20</f>
        <v>2</v>
      </c>
      <c r="H20" s="7"/>
    </row>
    <row r="21" customFormat="false" ht="15" hidden="false" customHeight="false" outlineLevel="0" collapsed="false">
      <c r="A21" s="6" t="s">
        <v>962</v>
      </c>
      <c r="B21" s="6" t="n">
        <f aca="false">COUNTIF('Toàn bộ Test Case'!C:C,A21)</f>
        <v>2</v>
      </c>
      <c r="C21" s="7" t="s">
        <v>1058</v>
      </c>
      <c r="D21" s="6" t="n">
        <f aca="false">COUNTIFS('Toàn bộ Test Case'!C:C,A21,'Toàn bộ Test Case'!M:M,"Pass")</f>
        <v>2</v>
      </c>
      <c r="E21" s="6" t="n">
        <f aca="false">COUNTIFS('Toàn bộ Test Case'!C:C,A21,'Toàn bộ Test Case'!M:M,"Fail")</f>
        <v>0</v>
      </c>
      <c r="F21" s="6" t="n">
        <f aca="false">COUNTIFS('Toàn bộ Test Case'!C:C,A21,'Toàn bộ Test Case'!M:M,"Chưa thực hiện")</f>
        <v>0</v>
      </c>
      <c r="G21" s="6" t="n">
        <f aca="false">D21+E21</f>
        <v>2</v>
      </c>
      <c r="H21" s="7"/>
    </row>
    <row r="22" customFormat="false" ht="15" hidden="false" customHeight="false" outlineLevel="0" collapsed="false">
      <c r="A22" s="6" t="s">
        <v>942</v>
      </c>
      <c r="B22" s="6" t="n">
        <f aca="false">COUNTIF('Toàn bộ Test Case'!C:C,A22)</f>
        <v>3</v>
      </c>
      <c r="C22" s="7" t="s">
        <v>1059</v>
      </c>
      <c r="D22" s="6" t="n">
        <f aca="false">COUNTIFS('Toàn bộ Test Case'!C:C,A22,'Toàn bộ Test Case'!M:M,"Pass")</f>
        <v>3</v>
      </c>
      <c r="E22" s="6" t="n">
        <f aca="false">COUNTIFS('Toàn bộ Test Case'!C:C,A22,'Toàn bộ Test Case'!M:M,"Fail")</f>
        <v>0</v>
      </c>
      <c r="F22" s="6" t="n">
        <f aca="false">COUNTIFS('Toàn bộ Test Case'!C:C,A22,'Toàn bộ Test Case'!M:M,"Chưa thực hiện")</f>
        <v>0</v>
      </c>
      <c r="G22" s="6" t="n">
        <f aca="false">D22+E22</f>
        <v>3</v>
      </c>
      <c r="H22" s="7"/>
    </row>
    <row r="23" customFormat="false" ht="25.35" hidden="false" customHeight="false" outlineLevel="0" collapsed="false">
      <c r="A23" s="6" t="s">
        <v>787</v>
      </c>
      <c r="B23" s="6" t="n">
        <f aca="false">COUNTIF('Toàn bộ Test Case'!C:C,A23)</f>
        <v>10</v>
      </c>
      <c r="C23" s="7" t="s">
        <v>1060</v>
      </c>
      <c r="D23" s="6" t="n">
        <f aca="false">COUNTIFS('Toàn bộ Test Case'!C:C,A23,'Toàn bộ Test Case'!M:M,"Pass")</f>
        <v>8</v>
      </c>
      <c r="E23" s="6" t="n">
        <f aca="false">COUNTIFS('Toàn bộ Test Case'!C:C,A23,'Toàn bộ Test Case'!M:M,"Fail")</f>
        <v>1</v>
      </c>
      <c r="F23" s="6" t="n">
        <f aca="false">COUNTIFS('Toàn bộ Test Case'!C:C,A23,'Toàn bộ Test Case'!M:M,"Chưa thực hiện")</f>
        <v>1</v>
      </c>
      <c r="G23" s="6" t="n">
        <f aca="false">D23+E23</f>
        <v>9</v>
      </c>
      <c r="H23" s="7" t="s">
        <v>1061</v>
      </c>
    </row>
    <row r="24" customFormat="false" ht="25.35" hidden="false" customHeight="false" outlineLevel="0" collapsed="false">
      <c r="A24" s="6" t="s">
        <v>714</v>
      </c>
      <c r="B24" s="6" t="n">
        <f aca="false">COUNTIF('Toàn bộ Test Case'!C:C,A24)</f>
        <v>9</v>
      </c>
      <c r="C24" s="7" t="s">
        <v>1062</v>
      </c>
      <c r="D24" s="6" t="n">
        <f aca="false">COUNTIFS('Toàn bộ Test Case'!C:C,A24,'Toàn bộ Test Case'!M:M,"Pass")</f>
        <v>4</v>
      </c>
      <c r="E24" s="6" t="n">
        <f aca="false">COUNTIFS('Toàn bộ Test Case'!C:C,A24,'Toàn bộ Test Case'!M:M,"Fail")</f>
        <v>1</v>
      </c>
      <c r="F24" s="6" t="n">
        <f aca="false">COUNTIFS('Toàn bộ Test Case'!C:C,A24,'Toàn bộ Test Case'!M:M,"Chưa thực hiện")</f>
        <v>4</v>
      </c>
      <c r="G24" s="6" t="n">
        <f aca="false">D24+E24</f>
        <v>5</v>
      </c>
      <c r="H24" s="7" t="s">
        <v>1063</v>
      </c>
    </row>
    <row r="25" customFormat="false" ht="15" hidden="false" customHeight="false" outlineLevel="0" collapsed="false">
      <c r="A25" s="6" t="s">
        <v>772</v>
      </c>
      <c r="B25" s="6" t="n">
        <f aca="false">COUNTIF('Toàn bộ Test Case'!C:C,A25)</f>
        <v>2</v>
      </c>
      <c r="C25" s="7" t="s">
        <v>1064</v>
      </c>
      <c r="D25" s="6" t="n">
        <f aca="false">COUNTIFS('Toàn bộ Test Case'!C:C,A25,'Toàn bộ Test Case'!M:M,"Pass")</f>
        <v>1</v>
      </c>
      <c r="E25" s="6" t="n">
        <f aca="false">COUNTIFS('Toàn bộ Test Case'!C:C,A25,'Toàn bộ Test Case'!M:M,"Fail")</f>
        <v>0</v>
      </c>
      <c r="F25" s="6" t="n">
        <f aca="false">COUNTIFS('Toàn bộ Test Case'!C:C,A25,'Toàn bộ Test Case'!M:M,"Chưa thực hiện")</f>
        <v>1</v>
      </c>
      <c r="G25" s="6" t="n">
        <f aca="false">D25+E25</f>
        <v>1</v>
      </c>
      <c r="H25" s="7"/>
    </row>
    <row r="26" customFormat="false" ht="15" hidden="false" customHeight="false" outlineLevel="0" collapsed="false">
      <c r="A26" s="6" t="s">
        <v>978</v>
      </c>
      <c r="B26" s="6" t="n">
        <f aca="false">COUNTIF('Toàn bộ Test Case'!C:C,A26)</f>
        <v>5</v>
      </c>
      <c r="C26" s="7" t="s">
        <v>1065</v>
      </c>
      <c r="D26" s="6" t="n">
        <f aca="false">COUNTIFS('Toàn bộ Test Case'!C:C,A26,'Toàn bộ Test Case'!M:M,"Pass")</f>
        <v>4</v>
      </c>
      <c r="E26" s="6" t="n">
        <f aca="false">COUNTIFS('Toàn bộ Test Case'!C:C,A26,'Toàn bộ Test Case'!M:M,"Fail")</f>
        <v>1</v>
      </c>
      <c r="F26" s="6" t="n">
        <f aca="false">COUNTIFS('Toàn bộ Test Case'!C:C,A26,'Toàn bộ Test Case'!M:M,"Chưa thực hiện")</f>
        <v>0</v>
      </c>
      <c r="G26" s="6" t="n">
        <f aca="false">D26+E26</f>
        <v>5</v>
      </c>
      <c r="H26" s="7" t="s">
        <v>1066</v>
      </c>
    </row>
    <row r="27" customFormat="false" ht="15" hidden="false" customHeight="false" outlineLevel="0" collapsed="false">
      <c r="A27" s="6" t="s">
        <v>1012</v>
      </c>
      <c r="B27" s="6" t="n">
        <f aca="false">COUNTIF('Toàn bộ Test Case'!C:C,A27)</f>
        <v>1</v>
      </c>
      <c r="C27" s="7" t="s">
        <v>1011</v>
      </c>
      <c r="D27" s="6" t="n">
        <f aca="false">COUNTIFS('Toàn bộ Test Case'!C:C,A27,'Toàn bộ Test Case'!M:M,"Pass")</f>
        <v>1</v>
      </c>
      <c r="E27" s="6" t="n">
        <f aca="false">COUNTIFS('Toàn bộ Test Case'!C:C,A27,'Toàn bộ Test Case'!M:M,"Fail")</f>
        <v>0</v>
      </c>
      <c r="F27" s="6" t="n">
        <f aca="false">COUNTIFS('Toàn bộ Test Case'!C:C,A27,'Toàn bộ Test Case'!M:M,"Chưa thực hiện")</f>
        <v>0</v>
      </c>
      <c r="G27" s="6" t="n">
        <f aca="false">D27+E27</f>
        <v>1</v>
      </c>
      <c r="H27" s="7"/>
    </row>
    <row r="28" customFormat="false" ht="15" hidden="false" customHeight="false" outlineLevel="0" collapsed="false">
      <c r="A28" s="6" t="s">
        <v>1020</v>
      </c>
      <c r="B28" s="6" t="n">
        <f aca="false">COUNTIF('Toàn bộ Test Case'!C:C,A28)</f>
        <v>2</v>
      </c>
      <c r="C28" s="7" t="s">
        <v>1067</v>
      </c>
      <c r="D28" s="6" t="n">
        <f aca="false">COUNTIFS('Toàn bộ Test Case'!C:C,A28,'Toàn bộ Test Case'!M:M,"Pass")</f>
        <v>2</v>
      </c>
      <c r="E28" s="6" t="n">
        <f aca="false">COUNTIFS('Toàn bộ Test Case'!C:C,A28,'Toàn bộ Test Case'!M:M,"Fail")</f>
        <v>0</v>
      </c>
      <c r="F28" s="6" t="n">
        <f aca="false">COUNTIFS('Toàn bộ Test Case'!C:C,A28,'Toàn bộ Test Case'!M:M,"Chưa thực hiện")</f>
        <v>0</v>
      </c>
      <c r="G28" s="6" t="n">
        <f aca="false">D28+E28</f>
        <v>2</v>
      </c>
      <c r="H28" s="7"/>
    </row>
    <row r="29" customFormat="false" ht="15" hidden="false" customHeight="false" outlineLevel="0" collapsed="false">
      <c r="A29" s="9" t="s">
        <v>1068</v>
      </c>
      <c r="B29" s="9" t="n">
        <f aca="false">SUM(B4:B28)</f>
        <v>135</v>
      </c>
      <c r="C29" s="26"/>
      <c r="D29" s="9" t="n">
        <f aca="false">SUM(D4:D28)</f>
        <v>107</v>
      </c>
      <c r="E29" s="9" t="n">
        <f aca="false">SUM(E4:E28)</f>
        <v>6</v>
      </c>
      <c r="F29" s="9" t="n">
        <f aca="false">SUM(F4:F28)</f>
        <v>22</v>
      </c>
      <c r="G29" s="9" t="n">
        <f aca="false">SUM(G4:G28)</f>
        <v>113</v>
      </c>
      <c r="H29" s="26"/>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2026-09-26T08:43:02Z</dcterms:created>
  <dc:creator>openpyxl</dc:creator>
  <dc:description/>
  <dc:language>en-US</dc:language>
  <cp:lastModifiedBy/>
  <dcterms:modified xsi:type="dcterms:W3CDTF">2026-09-28T15:31:33Z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